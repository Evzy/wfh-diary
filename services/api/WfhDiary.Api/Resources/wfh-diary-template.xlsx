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U12ydN1awlssA08Qh6nvvfRZyTm3WmnHGheAu43Cms="/>
    </ext>
  </extLst>
</workbook>
</file>

<file path=xl/sharedStrings.xml><?xml version="1.0" encoding="utf-8"?>
<sst xmlns="http://schemas.openxmlformats.org/spreadsheetml/2006/main" count="593" uniqueCount="114">
  <si>
    <t>2024/25 Working from Home Diary</t>
  </si>
  <si>
    <t>Taken from https://www.mgisq.com.au/working-from-home-expenses/</t>
  </si>
  <si>
    <t xml:space="preserve">Name: </t>
  </si>
  <si>
    <t>YOUR NAME HERE</t>
  </si>
  <si>
    <t>The ATO requires you to keep a record of the total number of hours you work from home in order to claim a tax deduction</t>
  </si>
  <si>
    <t>using the revised fixed rate method of $0.67 per hour worked from home.</t>
  </si>
  <si>
    <t>Please enter your start and finish times and break hours in the blue cells below, along with a description of work completed.</t>
  </si>
  <si>
    <t xml:space="preserve">You also need to keep at least one monthly or quarterly invoice you have paid for each of the expenses that are covered by </t>
  </si>
  <si>
    <t>the fixed rate method (for example: phone bill, electricity bill, internet bill).</t>
  </si>
  <si>
    <t>Examples of how to enter time</t>
  </si>
  <si>
    <t>Time</t>
  </si>
  <si>
    <t>Breaks</t>
  </si>
  <si>
    <t>Total Hours</t>
  </si>
  <si>
    <t>Total Hours Worked 1 July 2023 to 30 June 2024</t>
  </si>
  <si>
    <t>Claimable WFH (Home Hours x 0.67c)</t>
  </si>
  <si>
    <t>and breaks</t>
  </si>
  <si>
    <t>Started</t>
  </si>
  <si>
    <t>Finished</t>
  </si>
  <si>
    <t>Worked</t>
  </si>
  <si>
    <t>Total Hours Worked From Home</t>
  </si>
  <si>
    <t>Enter in 24</t>
  </si>
  <si>
    <t>Enter in</t>
  </si>
  <si>
    <t>Total Hours Worked In Office</t>
  </si>
  <si>
    <t>hour time</t>
  </si>
  <si>
    <t>Hrs as Decimal</t>
  </si>
  <si>
    <t>Logic Check</t>
  </si>
  <si>
    <t>Diff</t>
  </si>
  <si>
    <t>Example 1 (1 hour break)</t>
  </si>
  <si>
    <t>The Logic check will ensure that everything adds up correctly</t>
  </si>
  <si>
    <t>Example 2 (45 min break)</t>
  </si>
  <si>
    <t>Example 3 (1 hour 30 min break)</t>
  </si>
  <si>
    <t>Example 4 (1 hour 15 min break)</t>
  </si>
  <si>
    <t>Day</t>
  </si>
  <si>
    <t>Date</t>
  </si>
  <si>
    <t>Description of Work Completed</t>
  </si>
  <si>
    <t>Home/Office</t>
  </si>
  <si>
    <t>Days at Home</t>
  </si>
  <si>
    <t>Days in Office</t>
  </si>
  <si>
    <t>Monday</t>
  </si>
  <si>
    <t>added constrains to AccessKeyECN table</t>
  </si>
  <si>
    <t>Home</t>
  </si>
  <si>
    <t>Tuesday</t>
  </si>
  <si>
    <t>started fixing up UI error</t>
  </si>
  <si>
    <t>Wednesday</t>
  </si>
  <si>
    <t>helping others and getting UI deployed</t>
  </si>
  <si>
    <t>Thursday</t>
  </si>
  <si>
    <t>investigation into legacy page and some UI work</t>
  </si>
  <si>
    <t>Friday</t>
  </si>
  <si>
    <t>remove integrator message if grid empty</t>
  </si>
  <si>
    <t>Saturday</t>
  </si>
  <si>
    <t>Sunday</t>
  </si>
  <si>
    <t>modify DMBL to fetch secondary key for legacy page</t>
  </si>
  <si>
    <t>added secondary key to UI</t>
  </si>
  <si>
    <t>small formatting change</t>
  </si>
  <si>
    <t>Help QA test more</t>
  </si>
  <si>
    <t>look into retrying sync to travel job when fails</t>
  </si>
  <si>
    <t>created config for job retry settings</t>
  </si>
  <si>
    <t>retry logging job complete</t>
  </si>
  <si>
    <t>change retry logging job implement</t>
  </si>
  <si>
    <t>test retry logging job</t>
  </si>
  <si>
    <t>LEAVE</t>
  </si>
  <si>
    <t>automated adjustment 10am changes</t>
  </si>
  <si>
    <t>script for booking STIP auth transactions done</t>
  </si>
  <si>
    <t>booking transactions work out script</t>
  </si>
  <si>
    <t>booking transactions for Eli done</t>
  </si>
  <si>
    <t>added error codes and debugging fix</t>
  </si>
  <si>
    <t>funding account ledger implementation error</t>
  </si>
  <si>
    <t>funding account ledger error refactor</t>
  </si>
  <si>
    <t>Started work on amend timing out</t>
  </si>
  <si>
    <t>Amend calls timing out further invest and deployments</t>
  </si>
  <si>
    <t>more amend investigation</t>
  </si>
  <si>
    <t>in office SQL workshop</t>
  </si>
  <si>
    <t>Office</t>
  </si>
  <si>
    <t>final amend timeout investigation stuff</t>
  </si>
  <si>
    <t>amend time out investigation</t>
  </si>
  <si>
    <t>fix vn web</t>
  </si>
  <si>
    <t>organise releases and final vn-web stuff</t>
  </si>
  <si>
    <t>release vn-web and branch pr fun'</t>
  </si>
  <si>
    <t>deployment of vn-web and related stuff</t>
  </si>
  <si>
    <t>start looking at daily reset issue</t>
  </si>
  <si>
    <t>amend van currency stuff</t>
  </si>
  <si>
    <t>ooffice mid year party</t>
  </si>
  <si>
    <t>daily reset and currency cache</t>
  </si>
  <si>
    <t>currency cache stuff and daily reset working out</t>
  </si>
  <si>
    <t>above plus meetings regarding perf test</t>
  </si>
  <si>
    <t>perf test and currency cache things</t>
  </si>
  <si>
    <t>plenty of meetings and currency cache finalising</t>
  </si>
  <si>
    <t>critical getting over the line</t>
  </si>
  <si>
    <t>PDP day</t>
  </si>
  <si>
    <t>Morning Critical to QA handover</t>
  </si>
  <si>
    <t>Critical for supplier sync</t>
  </si>
  <si>
    <t>ADP and day for compliance</t>
  </si>
  <si>
    <t>access currency work and move on auth stuff</t>
  </si>
  <si>
    <t>amend fix ups</t>
  </si>
  <si>
    <t>final amend work</t>
  </si>
  <si>
    <t>IPM changes start work</t>
  </si>
  <si>
    <t>IPM testing changes and PR finalising</t>
  </si>
  <si>
    <t>IPM file decryption and investigation</t>
  </si>
  <si>
    <t>IPM stuff working</t>
  </si>
  <si>
    <t>More IPM work</t>
  </si>
  <si>
    <t>Leave because unwell</t>
  </si>
  <si>
    <t>Amend changes</t>
  </si>
  <si>
    <t>Amend and IPM finalising</t>
  </si>
  <si>
    <t>unwell again</t>
  </si>
  <si>
    <t>Amend finalising and IPM testing</t>
  </si>
  <si>
    <t>Meetings and IDPS</t>
  </si>
  <si>
    <t>Pretty much compeled all IDPS</t>
  </si>
  <si>
    <t>Worked on getting things out door</t>
  </si>
  <si>
    <t>datadog access requests and AWS work</t>
  </si>
  <si>
    <t>appd datadog fun</t>
  </si>
  <si>
    <t>trying to fix environments</t>
  </si>
  <si>
    <t>moving over to C#  to APM stuff</t>
  </si>
  <si>
    <t>Total Hours Worked 1 July 2024 to 30 June 2025</t>
  </si>
  <si>
    <t>Claimable WFH (Hours x 0.67c)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</si>
</sst>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09]h:mm\ AM/PM"/>
    <numFmt numFmtId="165" formatCode="_-* #,##0.00_-;\-* #,##0.00_-;_-* &quot;-&quot;??_-;_-@"/>
    <numFmt numFmtId="166" formatCode="&quot;$&quot;#,##0.00;\-&quot;$&quot;#,##0.00"/>
    <numFmt numFmtId="167" formatCode="[$-409]h:mm:ss\ AM/PM"/>
    <numFmt numFmtId="168" formatCode="h:mm am/pm"/>
  </numFmts>
  <fonts count="15">
    <font>
      <sz val="11.0"/>
      <color theme="1"/>
      <name val="Calibri"/>
      <scheme val="minor"/>
    </font>
    <font>
      <b/>
      <sz val="26.0"/>
      <color theme="1"/>
      <name val="Quattrocento Sans"/>
    </font>
    <font/>
    <font>
      <sz val="11.0"/>
      <color theme="1"/>
      <name val="Quattrocento Sans"/>
    </font>
    <font>
      <b/>
      <sz val="11.0"/>
      <color theme="1"/>
      <name val="Quattrocento Sans"/>
    </font>
    <font>
      <b/>
      <sz val="11.0"/>
      <color theme="0"/>
      <name val="Quattrocento Sans"/>
    </font>
    <font>
      <b/>
      <sz val="11.0"/>
      <color rgb="FFFFFFFF"/>
      <name val="&quot;Quattrocento Sans&quot;"/>
    </font>
    <font>
      <sz val="11.0"/>
      <color theme="1"/>
      <name val="Calibri"/>
    </font>
    <font>
      <sz val="11.0"/>
      <color rgb="FFFFFFFF"/>
      <name val="&quot;Quattrocento Sans&quot;"/>
    </font>
    <font>
      <sz val="9.0"/>
      <color theme="1"/>
      <name val="Quattrocento Sans"/>
    </font>
    <font>
      <i/>
      <sz val="11.0"/>
      <color theme="1"/>
      <name val="Calibri"/>
    </font>
    <font>
      <b/>
      <sz val="11.0"/>
      <color rgb="FFFFFFFF"/>
      <name val="Quattrocento Sans"/>
    </font>
    <font>
      <sz val="11.0"/>
      <color theme="1"/>
      <name val="&quot;Quattrocento Sans&quot;"/>
    </font>
    <font>
      <sz val="11.0"/>
      <color theme="0"/>
      <name val="Quattrocento Sans"/>
    </font>
    <font>
      <sz val="11.0"/>
      <color rgb="FFFFFFFF"/>
      <name val="Quattrocento Sans"/>
    </font>
  </fonts>
  <fills count="6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12262F"/>
        <bgColor rgb="FF12262F"/>
      </patternFill>
    </fill>
    <fill>
      <patternFill patternType="solid">
        <fgColor rgb="FF70AD47"/>
        <bgColor rgb="FF70AD47"/>
      </patternFill>
    </fill>
    <fill>
      <patternFill patternType="solid">
        <fgColor rgb="FFDEEAF6"/>
        <bgColor rgb="FFDEEAF6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4" fillId="0" fontId="4" numFmtId="0" xfId="0" applyBorder="1" applyFont="1"/>
    <xf borderId="7" fillId="2" fontId="3" numFmtId="0" xfId="0" applyAlignment="1" applyBorder="1" applyFill="1" applyFont="1">
      <alignment readingOrder="0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0" fontId="3" numFmtId="164" xfId="0" applyFont="1" applyNumberFormat="1"/>
    <xf borderId="0" fillId="0" fontId="3" numFmtId="20" xfId="0" applyFont="1" applyNumberFormat="1"/>
    <xf borderId="10" fillId="0" fontId="3" numFmtId="0" xfId="0" applyBorder="1" applyFont="1"/>
    <xf borderId="11" fillId="3" fontId="5" numFmtId="0" xfId="0" applyBorder="1" applyFill="1" applyFont="1"/>
    <xf borderId="12" fillId="3" fontId="5" numFmtId="0" xfId="0" applyAlignment="1" applyBorder="1" applyFont="1">
      <alignment horizontal="center"/>
    </xf>
    <xf borderId="12" fillId="3" fontId="5" numFmtId="164" xfId="0" applyAlignment="1" applyBorder="1" applyFont="1" applyNumberFormat="1">
      <alignment horizontal="center"/>
    </xf>
    <xf borderId="12" fillId="3" fontId="5" numFmtId="20" xfId="0" applyAlignment="1" applyBorder="1" applyFont="1" applyNumberFormat="1">
      <alignment horizontal="center"/>
    </xf>
    <xf borderId="13" fillId="3" fontId="6" numFmtId="0" xfId="0" applyAlignment="1" applyBorder="1" applyFont="1">
      <alignment shrinkToFit="0" vertical="bottom" wrapText="0"/>
    </xf>
    <xf borderId="14" fillId="3" fontId="7" numFmtId="0" xfId="0" applyAlignment="1" applyBorder="1" applyFont="1">
      <alignment vertical="bottom"/>
    </xf>
    <xf borderId="14" fillId="3" fontId="7" numFmtId="164" xfId="0" applyAlignment="1" applyBorder="1" applyFont="1" applyNumberFormat="1">
      <alignment vertical="bottom"/>
    </xf>
    <xf borderId="14" fillId="3" fontId="7" numFmtId="20" xfId="0" applyAlignment="1" applyBorder="1" applyFont="1" applyNumberFormat="1">
      <alignment vertical="bottom"/>
    </xf>
    <xf borderId="14" fillId="3" fontId="6" numFmtId="165" xfId="0" applyAlignment="1" applyBorder="1" applyFont="1" applyNumberFormat="1">
      <alignment horizontal="right" vertical="bottom"/>
    </xf>
    <xf borderId="15" fillId="3" fontId="8" numFmtId="0" xfId="0" applyAlignment="1" applyBorder="1" applyFont="1">
      <alignment vertical="bottom"/>
    </xf>
    <xf borderId="16" fillId="3" fontId="5" numFmtId="0" xfId="0" applyBorder="1" applyFont="1"/>
    <xf borderId="17" fillId="3" fontId="5" numFmtId="0" xfId="0" applyAlignment="1" applyBorder="1" applyFont="1">
      <alignment horizontal="center"/>
    </xf>
    <xf borderId="17" fillId="3" fontId="5" numFmtId="164" xfId="0" applyAlignment="1" applyBorder="1" applyFont="1" applyNumberFormat="1">
      <alignment horizontal="center"/>
    </xf>
    <xf borderId="17" fillId="3" fontId="5" numFmtId="20" xfId="0" applyAlignment="1" applyBorder="1" applyFont="1" applyNumberFormat="1">
      <alignment horizontal="center"/>
    </xf>
    <xf borderId="13" fillId="3" fontId="6" numFmtId="165" xfId="0" applyAlignment="1" applyBorder="1" applyFont="1" applyNumberFormat="1">
      <alignment shrinkToFit="0" vertical="bottom" wrapText="0"/>
    </xf>
    <xf borderId="14" fillId="3" fontId="7" numFmtId="165" xfId="0" applyAlignment="1" applyBorder="1" applyFont="1" applyNumberFormat="1">
      <alignment vertical="bottom"/>
    </xf>
    <xf borderId="14" fillId="3" fontId="7" numFmtId="166" xfId="0" applyAlignment="1" applyBorder="1" applyFont="1" applyNumberFormat="1">
      <alignment vertical="bottom"/>
    </xf>
    <xf borderId="14" fillId="3" fontId="6" numFmtId="0" xfId="0" applyAlignment="1" applyBorder="1" applyFont="1">
      <alignment horizontal="right" vertical="bottom"/>
    </xf>
    <xf borderId="14" fillId="3" fontId="6" numFmtId="166" xfId="0" applyAlignment="1" applyBorder="1" applyFont="1" applyNumberFormat="1">
      <alignment horizontal="right" vertical="bottom"/>
    </xf>
    <xf borderId="0" fillId="0" fontId="9" numFmtId="164" xfId="0" applyAlignment="1" applyFont="1" applyNumberFormat="1">
      <alignment horizontal="center"/>
    </xf>
    <xf borderId="0" fillId="0" fontId="9" numFmtId="20" xfId="0" applyAlignment="1" applyFont="1" applyNumberFormat="1">
      <alignment horizontal="center"/>
    </xf>
    <xf borderId="13" fillId="3" fontId="6" numFmtId="0" xfId="0" applyAlignment="1" applyBorder="1" applyFont="1">
      <alignment shrinkToFit="0" vertical="bottom" wrapText="0"/>
    </xf>
    <xf borderId="0" fillId="0" fontId="7" numFmtId="0" xfId="0" applyAlignment="1" applyFont="1">
      <alignment vertical="bottom"/>
    </xf>
    <xf borderId="13" fillId="3" fontId="6" numFmtId="0" xfId="0" applyAlignment="1" applyBorder="1" applyFont="1">
      <alignment vertical="bottom"/>
    </xf>
    <xf borderId="15" fillId="4" fontId="8" numFmtId="0" xfId="0" applyAlignment="1" applyBorder="1" applyFill="1" applyFont="1">
      <alignment vertical="bottom"/>
    </xf>
    <xf borderId="10" fillId="0" fontId="7" numFmtId="0" xfId="0" applyAlignment="1" applyBorder="1" applyFont="1">
      <alignment vertical="bottom"/>
    </xf>
    <xf borderId="15" fillId="3" fontId="6" numFmtId="0" xfId="0" applyAlignment="1" applyBorder="1" applyFont="1">
      <alignment vertical="bottom"/>
    </xf>
    <xf borderId="0" fillId="0" fontId="3" numFmtId="16" xfId="0" applyFont="1" applyNumberFormat="1"/>
    <xf borderId="18" fillId="0" fontId="3" numFmtId="164" xfId="0" applyBorder="1" applyFont="1" applyNumberFormat="1"/>
    <xf borderId="18" fillId="0" fontId="3" numFmtId="2" xfId="0" applyBorder="1" applyFont="1" applyNumberFormat="1"/>
    <xf borderId="0" fillId="0" fontId="3" numFmtId="2" xfId="0" applyFont="1" applyNumberFormat="1"/>
    <xf borderId="0" fillId="0" fontId="3" numFmtId="167" xfId="0" applyFont="1" applyNumberFormat="1"/>
    <xf borderId="0" fillId="0" fontId="10" numFmtId="0" xfId="0" applyAlignment="1" applyFont="1">
      <alignment shrinkToFit="0" vertical="bottom" wrapText="0"/>
    </xf>
    <xf borderId="19" fillId="0" fontId="3" numFmtId="0" xfId="0" applyBorder="1" applyFont="1"/>
    <xf borderId="20" fillId="3" fontId="5" numFmtId="164" xfId="0" applyAlignment="1" applyBorder="1" applyFont="1" applyNumberFormat="1">
      <alignment horizontal="center"/>
    </xf>
    <xf borderId="20" fillId="3" fontId="5" numFmtId="20" xfId="0" applyAlignment="1" applyBorder="1" applyFont="1" applyNumberFormat="1">
      <alignment horizontal="center"/>
    </xf>
    <xf borderId="20" fillId="3" fontId="5" numFmtId="0" xfId="0" applyAlignment="1" applyBorder="1" applyFont="1">
      <alignment horizontal="center"/>
    </xf>
    <xf borderId="21" fillId="3" fontId="5" numFmtId="0" xfId="0" applyBorder="1" applyFont="1"/>
    <xf borderId="21" fillId="3" fontId="11" numFmtId="0" xfId="0" applyBorder="1" applyFont="1"/>
    <xf borderId="22" fillId="3" fontId="8" numFmtId="0" xfId="0" applyAlignment="1" applyBorder="1" applyFont="1">
      <alignment vertical="bottom"/>
    </xf>
    <xf borderId="23" fillId="3" fontId="5" numFmtId="0" xfId="0" applyBorder="1" applyFont="1"/>
    <xf borderId="13" fillId="3" fontId="6" numFmtId="0" xfId="0" applyAlignment="1" applyBorder="1" applyFont="1">
      <alignment horizontal="right" vertical="bottom"/>
    </xf>
    <xf borderId="15" fillId="3" fontId="8" numFmtId="0" xfId="0" applyAlignment="1" applyBorder="1" applyFont="1">
      <alignment horizontal="right" vertical="bottom"/>
    </xf>
    <xf borderId="0" fillId="0" fontId="3" numFmtId="16" xfId="0" applyAlignment="1" applyFont="1" applyNumberFormat="1">
      <alignment readingOrder="0"/>
    </xf>
    <xf borderId="18" fillId="2" fontId="3" numFmtId="164" xfId="0" applyAlignment="1" applyBorder="1" applyFont="1" applyNumberFormat="1">
      <alignment readingOrder="0"/>
    </xf>
    <xf borderId="18" fillId="2" fontId="3" numFmtId="168" xfId="0" applyAlignment="1" applyBorder="1" applyFont="1" applyNumberFormat="1">
      <alignment readingOrder="0"/>
    </xf>
    <xf borderId="18" fillId="2" fontId="3" numFmtId="2" xfId="0" applyAlignment="1" applyBorder="1" applyFont="1" applyNumberFormat="1">
      <alignment readingOrder="0"/>
    </xf>
    <xf borderId="24" fillId="2" fontId="3" numFmtId="0" xfId="0" applyAlignment="1" applyBorder="1" applyFont="1">
      <alignment readingOrder="0"/>
    </xf>
    <xf borderId="18" fillId="2" fontId="12" numFmtId="164" xfId="0" applyAlignment="1" applyBorder="1" applyFont="1" applyNumberFormat="1">
      <alignment horizontal="right" vertical="bottom"/>
    </xf>
    <xf borderId="25" fillId="2" fontId="12" numFmtId="164" xfId="0" applyAlignment="1" applyBorder="1" applyFont="1" applyNumberFormat="1">
      <alignment horizontal="right" vertical="bottom"/>
    </xf>
    <xf borderId="25" fillId="2" fontId="12" numFmtId="2" xfId="0" applyAlignment="1" applyBorder="1" applyFont="1" applyNumberFormat="1">
      <alignment horizontal="right" vertical="bottom"/>
    </xf>
    <xf borderId="26" fillId="2" fontId="12" numFmtId="164" xfId="0" applyAlignment="1" applyBorder="1" applyFont="1" applyNumberFormat="1">
      <alignment horizontal="right" vertical="bottom"/>
    </xf>
    <xf borderId="27" fillId="2" fontId="12" numFmtId="164" xfId="0" applyAlignment="1" applyBorder="1" applyFont="1" applyNumberFormat="1">
      <alignment horizontal="right" vertical="bottom"/>
    </xf>
    <xf borderId="27" fillId="2" fontId="12" numFmtId="2" xfId="0" applyAlignment="1" applyBorder="1" applyFont="1" applyNumberFormat="1">
      <alignment horizontal="right" vertical="bottom"/>
    </xf>
    <xf borderId="28" fillId="2" fontId="3" numFmtId="0" xfId="0" applyAlignment="1" applyBorder="1" applyFont="1">
      <alignment readingOrder="0"/>
    </xf>
    <xf borderId="18" fillId="5" fontId="3" numFmtId="164" xfId="0" applyBorder="1" applyFill="1" applyFont="1" applyNumberFormat="1"/>
    <xf borderId="18" fillId="5" fontId="3" numFmtId="2" xfId="0" applyBorder="1" applyFont="1" applyNumberFormat="1"/>
    <xf borderId="24" fillId="5" fontId="3" numFmtId="0" xfId="0" applyBorder="1" applyFont="1"/>
    <xf borderId="24" fillId="2" fontId="3" numFmtId="0" xfId="0" applyBorder="1" applyFont="1"/>
    <xf borderId="18" fillId="2" fontId="3" numFmtId="2" xfId="0" applyAlignment="1" applyBorder="1" applyFont="1" applyNumberFormat="1">
      <alignment horizontal="right" vertical="bottom"/>
    </xf>
    <xf borderId="0" fillId="0" fontId="3" numFmtId="2" xfId="0" applyAlignment="1" applyFont="1" applyNumberFormat="1">
      <alignment horizontal="right" vertical="bottom"/>
    </xf>
    <xf borderId="24" fillId="2" fontId="3" numFmtId="0" xfId="0" applyAlignment="1" applyBorder="1" applyFont="1">
      <alignment readingOrder="0" vertical="bottom"/>
    </xf>
    <xf borderId="24" fillId="2" fontId="3" numFmtId="0" xfId="0" applyAlignment="1" applyBorder="1" applyFont="1">
      <alignment vertical="bottom"/>
    </xf>
    <xf borderId="18" fillId="2" fontId="3" numFmtId="2" xfId="0" applyBorder="1" applyFont="1" applyNumberFormat="1"/>
    <xf borderId="26" fillId="2" fontId="3" numFmtId="164" xfId="0" applyAlignment="1" applyBorder="1" applyFont="1" applyNumberFormat="1">
      <alignment horizontal="right" vertical="bottom"/>
    </xf>
    <xf borderId="27" fillId="2" fontId="3" numFmtId="164" xfId="0" applyAlignment="1" applyBorder="1" applyFont="1" applyNumberFormat="1">
      <alignment horizontal="right" vertical="bottom"/>
    </xf>
    <xf borderId="18" fillId="2" fontId="3" numFmtId="164" xfId="0" applyAlignment="1" applyBorder="1" applyFont="1" applyNumberFormat="1">
      <alignment horizontal="right" vertical="bottom"/>
    </xf>
    <xf borderId="25" fillId="2" fontId="3" numFmtId="164" xfId="0" applyAlignment="1" applyBorder="1" applyFont="1" applyNumberFormat="1">
      <alignment horizontal="right" vertical="bottom"/>
    </xf>
    <xf borderId="28" fillId="2" fontId="3" numFmtId="0" xfId="0" applyBorder="1" applyFont="1"/>
    <xf borderId="18" fillId="2" fontId="3" numFmtId="164" xfId="0" applyBorder="1" applyFont="1" applyNumberFormat="1"/>
    <xf borderId="16" fillId="3" fontId="11" numFmtId="0" xfId="0" applyAlignment="1" applyBorder="1" applyFont="1">
      <alignment readingOrder="0"/>
    </xf>
    <xf borderId="17" fillId="3" fontId="5" numFmtId="0" xfId="0" applyBorder="1" applyFont="1"/>
    <xf borderId="17" fillId="3" fontId="5" numFmtId="164" xfId="0" applyBorder="1" applyFont="1" applyNumberFormat="1"/>
    <xf borderId="17" fillId="3" fontId="5" numFmtId="20" xfId="0" applyBorder="1" applyFont="1" applyNumberFormat="1"/>
    <xf borderId="17" fillId="3" fontId="5" numFmtId="165" xfId="0" applyBorder="1" applyFont="1" applyNumberFormat="1"/>
    <xf borderId="23" fillId="3" fontId="13" numFmtId="0" xfId="0" applyBorder="1" applyFont="1"/>
    <xf borderId="23" fillId="3" fontId="14" numFmtId="0" xfId="0" applyBorder="1" applyFont="1"/>
    <xf borderId="17" fillId="3" fontId="5" numFmtId="166" xfId="0" applyBorder="1" applyFont="1" applyNumberFormat="1"/>
    <xf borderId="17" fillId="3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1.57"/>
    <col customWidth="1" min="2" max="2" width="14.14"/>
    <col customWidth="1" min="3" max="4" width="10.0"/>
    <col customWidth="1" min="5" max="5" width="13.57"/>
    <col customWidth="1" min="6" max="6" width="11.14"/>
    <col customWidth="1" min="7" max="7" width="47.71"/>
    <col customWidth="1" min="8" max="8" width="23.29"/>
    <col customWidth="1" min="9" max="9" width="45.29"/>
    <col customWidth="1" min="10" max="10" width="16.29"/>
    <col customWidth="1" min="11" max="12" width="9.0"/>
    <col customWidth="1" min="13" max="13" width="22.14"/>
    <col customWidth="1" min="14" max="14" width="9.0"/>
    <col customWidth="1" min="15" max="15" width="39.43"/>
    <col customWidth="1" min="16" max="26" width="9.0"/>
  </cols>
  <sheetData>
    <row r="1" ht="30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6"/>
      <c r="C2" s="6"/>
      <c r="D2" s="6"/>
      <c r="E2" s="6"/>
      <c r="F2" s="6"/>
      <c r="G2" s="7"/>
      <c r="H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8" t="s">
        <v>2</v>
      </c>
      <c r="B3" s="9" t="s">
        <v>3</v>
      </c>
      <c r="C3" s="10"/>
      <c r="D3" s="10"/>
      <c r="E3" s="10"/>
      <c r="F3" s="10"/>
      <c r="G3" s="11"/>
      <c r="H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5"/>
      <c r="B4" s="4"/>
      <c r="G4" s="12"/>
      <c r="H4" s="4"/>
      <c r="I4" s="4"/>
      <c r="K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5" t="s">
        <v>4</v>
      </c>
      <c r="B5" s="4"/>
      <c r="C5" s="13"/>
      <c r="D5" s="13"/>
      <c r="E5" s="14"/>
      <c r="F5" s="4"/>
      <c r="G5" s="1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5" t="s">
        <v>5</v>
      </c>
      <c r="B6" s="4"/>
      <c r="C6" s="13"/>
      <c r="D6" s="13"/>
      <c r="E6" s="14"/>
      <c r="F6" s="4"/>
      <c r="G6" s="1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5"/>
      <c r="B7" s="4"/>
      <c r="C7" s="13"/>
      <c r="D7" s="13"/>
      <c r="E7" s="14"/>
      <c r="F7" s="4"/>
      <c r="G7" s="1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5" t="s">
        <v>6</v>
      </c>
      <c r="B8" s="4"/>
      <c r="C8" s="13"/>
      <c r="D8" s="13"/>
      <c r="E8" s="14"/>
      <c r="F8" s="4"/>
      <c r="G8" s="1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5"/>
      <c r="B9" s="4"/>
      <c r="C9" s="13"/>
      <c r="D9" s="13"/>
      <c r="E9" s="14"/>
      <c r="F9" s="4"/>
      <c r="G9" s="1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5" t="s">
        <v>7</v>
      </c>
      <c r="B10" s="4"/>
      <c r="C10" s="13"/>
      <c r="D10" s="13"/>
      <c r="E10" s="14"/>
      <c r="F10" s="4"/>
      <c r="G10" s="1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5" t="s">
        <v>8</v>
      </c>
      <c r="B11" s="4"/>
      <c r="C11" s="13"/>
      <c r="D11" s="13"/>
      <c r="E11" s="14"/>
      <c r="F11" s="4"/>
      <c r="G11" s="1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5"/>
      <c r="B12" s="4"/>
      <c r="C12" s="13"/>
      <c r="D12" s="13"/>
      <c r="E12" s="14"/>
      <c r="F12" s="4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16" t="s">
        <v>9</v>
      </c>
      <c r="B13" s="17"/>
      <c r="C13" s="18" t="s">
        <v>10</v>
      </c>
      <c r="D13" s="18" t="s">
        <v>10</v>
      </c>
      <c r="E13" s="19" t="s">
        <v>11</v>
      </c>
      <c r="F13" s="17" t="s">
        <v>12</v>
      </c>
      <c r="G13" s="15"/>
      <c r="H13" s="4"/>
      <c r="I13" s="20" t="s">
        <v>13</v>
      </c>
      <c r="J13" s="21"/>
      <c r="K13" s="22"/>
      <c r="L13" s="22"/>
      <c r="M13" s="23"/>
      <c r="N13" s="24">
        <f>SUM(F24:F388)</f>
        <v>657</v>
      </c>
      <c r="O13" s="25" t="s">
        <v>14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26" t="s">
        <v>15</v>
      </c>
      <c r="B14" s="27"/>
      <c r="C14" s="28" t="s">
        <v>16</v>
      </c>
      <c r="D14" s="28" t="s">
        <v>17</v>
      </c>
      <c r="E14" s="29"/>
      <c r="F14" s="27" t="s">
        <v>18</v>
      </c>
      <c r="G14" s="15"/>
      <c r="H14" s="4"/>
      <c r="I14" s="30" t="s">
        <v>19</v>
      </c>
      <c r="J14" s="31"/>
      <c r="K14" s="31"/>
      <c r="L14" s="31"/>
      <c r="M14" s="32"/>
      <c r="N14" s="33">
        <f>SUMIF(H24:H389, "Home", F24:F389)</f>
        <v>633</v>
      </c>
      <c r="O14" s="34">
        <f>N14*0.67</f>
        <v>424.11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5"/>
      <c r="B15" s="4"/>
      <c r="C15" s="35" t="s">
        <v>20</v>
      </c>
      <c r="D15" s="35" t="s">
        <v>20</v>
      </c>
      <c r="E15" s="36" t="s">
        <v>21</v>
      </c>
      <c r="F15" s="4"/>
      <c r="G15" s="15"/>
      <c r="H15" s="4"/>
      <c r="I15" s="37" t="s">
        <v>22</v>
      </c>
      <c r="J15" s="21"/>
      <c r="K15" s="21"/>
      <c r="L15" s="21"/>
      <c r="M15" s="21"/>
      <c r="N15" s="33">
        <f>SUMIF(H24:H389, "Office", F24:F389)</f>
        <v>24</v>
      </c>
      <c r="O15" s="3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5"/>
      <c r="B16" s="4"/>
      <c r="C16" s="35" t="s">
        <v>23</v>
      </c>
      <c r="D16" s="35" t="s">
        <v>23</v>
      </c>
      <c r="E16" s="36" t="s">
        <v>24</v>
      </c>
      <c r="F16" s="4"/>
      <c r="G16" s="15"/>
      <c r="H16" s="4"/>
      <c r="I16" s="39" t="s">
        <v>25</v>
      </c>
      <c r="J16" s="40" t="str">
        <f>IF(N13=N14+N15, "Working", "Math is wrong!")</f>
        <v>Working</v>
      </c>
      <c r="K16" s="38"/>
      <c r="L16" s="41"/>
      <c r="M16" s="42" t="s">
        <v>26</v>
      </c>
      <c r="N16" s="24">
        <f>N15+N14-N13</f>
        <v>0</v>
      </c>
      <c r="O16" s="3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5" t="s">
        <v>27</v>
      </c>
      <c r="B17" s="43"/>
      <c r="C17" s="44">
        <v>0.3541666666666667</v>
      </c>
      <c r="D17" s="44">
        <v>0.7083333333333334</v>
      </c>
      <c r="E17" s="45">
        <v>1.0</v>
      </c>
      <c r="F17" s="46">
        <f t="shared" ref="F17:F20" si="1">(D17-C17)*24-E17</f>
        <v>7.5</v>
      </c>
      <c r="G17" s="15"/>
      <c r="H17" s="47"/>
      <c r="I17" s="48" t="s">
        <v>28</v>
      </c>
      <c r="J17" s="38"/>
      <c r="K17" s="38"/>
      <c r="L17" s="38"/>
      <c r="M17" s="38"/>
      <c r="N17" s="38"/>
      <c r="O17" s="38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5" t="s">
        <v>29</v>
      </c>
      <c r="B18" s="43"/>
      <c r="C18" s="44">
        <v>0.3541666666666667</v>
      </c>
      <c r="D18" s="44">
        <v>0.7083333333333334</v>
      </c>
      <c r="E18" s="45">
        <v>0.75</v>
      </c>
      <c r="F18" s="46">
        <f t="shared" si="1"/>
        <v>7.75</v>
      </c>
      <c r="G18" s="1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5" t="s">
        <v>30</v>
      </c>
      <c r="B19" s="43"/>
      <c r="C19" s="44">
        <v>0.3541666666666667</v>
      </c>
      <c r="D19" s="44">
        <v>0.7083333333333334</v>
      </c>
      <c r="E19" s="45">
        <v>1.5</v>
      </c>
      <c r="F19" s="46">
        <f t="shared" si="1"/>
        <v>7</v>
      </c>
      <c r="G19" s="1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5" t="s">
        <v>31</v>
      </c>
      <c r="B20" s="43"/>
      <c r="C20" s="44">
        <v>0.3541666666666667</v>
      </c>
      <c r="D20" s="44">
        <v>0.7083333333333334</v>
      </c>
      <c r="E20" s="45">
        <v>1.25</v>
      </c>
      <c r="F20" s="46">
        <f t="shared" si="1"/>
        <v>7.25</v>
      </c>
      <c r="G20" s="1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5"/>
      <c r="B21" s="43"/>
      <c r="C21" s="13"/>
      <c r="D21" s="13"/>
      <c r="E21" s="14"/>
      <c r="F21" s="14"/>
      <c r="G21" s="4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16" t="s">
        <v>32</v>
      </c>
      <c r="B22" s="17" t="s">
        <v>33</v>
      </c>
      <c r="C22" s="50" t="s">
        <v>10</v>
      </c>
      <c r="D22" s="50" t="s">
        <v>10</v>
      </c>
      <c r="E22" s="51" t="s">
        <v>11</v>
      </c>
      <c r="F22" s="52" t="s">
        <v>12</v>
      </c>
      <c r="G22" s="53" t="s">
        <v>34</v>
      </c>
      <c r="H22" s="54" t="s">
        <v>35</v>
      </c>
      <c r="I22" s="55" t="s">
        <v>36</v>
      </c>
      <c r="J22" s="25" t="s">
        <v>37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26"/>
      <c r="B23" s="27"/>
      <c r="C23" s="28" t="s">
        <v>16</v>
      </c>
      <c r="D23" s="28" t="s">
        <v>17</v>
      </c>
      <c r="E23" s="29"/>
      <c r="F23" s="27" t="s">
        <v>18</v>
      </c>
      <c r="G23" s="56"/>
      <c r="H23" s="56"/>
      <c r="I23" s="57">
        <f>COUNTIFS(H24:H389, "Home")</f>
        <v>79</v>
      </c>
      <c r="J23" s="58">
        <f>COUNTIFS(H24:H389, "Office")</f>
        <v>3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5" t="s">
        <v>38</v>
      </c>
      <c r="B24" s="59">
        <v>45474.0</v>
      </c>
      <c r="C24" s="60">
        <v>0.3333333333333333</v>
      </c>
      <c r="D24" s="61">
        <v>0.7083333333333334</v>
      </c>
      <c r="E24" s="62">
        <v>1.0</v>
      </c>
      <c r="F24" s="46">
        <f t="shared" ref="F24:F25" si="2">(D24-C24)*24-E24</f>
        <v>8</v>
      </c>
      <c r="G24" s="63" t="s">
        <v>39</v>
      </c>
      <c r="H24" s="63" t="s">
        <v>40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5" t="s">
        <v>41</v>
      </c>
      <c r="B25" s="59">
        <v>45475.0</v>
      </c>
      <c r="C25" s="64">
        <v>0.3541666666666667</v>
      </c>
      <c r="D25" s="65">
        <v>0.7291666666666666</v>
      </c>
      <c r="E25" s="66">
        <v>1.0</v>
      </c>
      <c r="F25" s="46">
        <f t="shared" si="2"/>
        <v>8</v>
      </c>
      <c r="G25" s="63" t="s">
        <v>42</v>
      </c>
      <c r="H25" s="63" t="s">
        <v>40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5" t="s">
        <v>43</v>
      </c>
      <c r="B26" s="59">
        <v>45476.0</v>
      </c>
      <c r="C26" s="67">
        <v>0.375</v>
      </c>
      <c r="D26" s="68">
        <v>0.75</v>
      </c>
      <c r="E26" s="69">
        <v>1.0</v>
      </c>
      <c r="F26" s="46">
        <f t="shared" ref="F26:F61" si="3">(D26-C26)*24-E26</f>
        <v>8</v>
      </c>
      <c r="G26" s="63" t="s">
        <v>44</v>
      </c>
      <c r="H26" s="63" t="s">
        <v>40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5" t="s">
        <v>45</v>
      </c>
      <c r="B27" s="59">
        <v>45477.0</v>
      </c>
      <c r="C27" s="64">
        <v>0.3541666666666667</v>
      </c>
      <c r="D27" s="65">
        <v>0.7291666666666666</v>
      </c>
      <c r="E27" s="66">
        <v>1.0</v>
      </c>
      <c r="F27" s="46">
        <f t="shared" si="3"/>
        <v>8</v>
      </c>
      <c r="G27" s="63" t="s">
        <v>46</v>
      </c>
      <c r="H27" s="63" t="s">
        <v>40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5" t="s">
        <v>47</v>
      </c>
      <c r="B28" s="59">
        <v>45478.0</v>
      </c>
      <c r="C28" s="67">
        <v>0.375</v>
      </c>
      <c r="D28" s="68">
        <v>0.75</v>
      </c>
      <c r="E28" s="69">
        <v>1.0</v>
      </c>
      <c r="F28" s="46">
        <f t="shared" si="3"/>
        <v>8</v>
      </c>
      <c r="G28" s="70" t="s">
        <v>48</v>
      </c>
      <c r="H28" s="70" t="s">
        <v>40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5" t="s">
        <v>49</v>
      </c>
      <c r="B29" s="59">
        <v>45479.0</v>
      </c>
      <c r="C29" s="71"/>
      <c r="D29" s="71"/>
      <c r="E29" s="72"/>
      <c r="F29" s="46">
        <f t="shared" si="3"/>
        <v>0</v>
      </c>
      <c r="G29" s="73"/>
      <c r="H29" s="7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5" t="s">
        <v>50</v>
      </c>
      <c r="B30" s="59">
        <v>45480.0</v>
      </c>
      <c r="C30" s="71"/>
      <c r="D30" s="71"/>
      <c r="E30" s="72"/>
      <c r="F30" s="46">
        <f t="shared" si="3"/>
        <v>0</v>
      </c>
      <c r="G30" s="73"/>
      <c r="H30" s="7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5" t="s">
        <v>38</v>
      </c>
      <c r="B31" s="59">
        <v>45481.0</v>
      </c>
      <c r="C31" s="60">
        <v>0.3333333333333333</v>
      </c>
      <c r="D31" s="61">
        <v>0.7083333333333334</v>
      </c>
      <c r="E31" s="62">
        <v>1.0</v>
      </c>
      <c r="F31" s="46">
        <f t="shared" si="3"/>
        <v>8</v>
      </c>
      <c r="G31" s="63" t="s">
        <v>51</v>
      </c>
      <c r="H31" s="63" t="s">
        <v>40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5" t="s">
        <v>41</v>
      </c>
      <c r="B32" s="59">
        <v>45482.0</v>
      </c>
      <c r="C32" s="64">
        <v>0.3541666666666667</v>
      </c>
      <c r="D32" s="65">
        <v>0.7291666666666666</v>
      </c>
      <c r="E32" s="66">
        <v>1.0</v>
      </c>
      <c r="F32" s="46">
        <f t="shared" si="3"/>
        <v>8</v>
      </c>
      <c r="G32" s="63" t="s">
        <v>51</v>
      </c>
      <c r="H32" s="63" t="s">
        <v>40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5" t="s">
        <v>43</v>
      </c>
      <c r="B33" s="59">
        <v>45483.0</v>
      </c>
      <c r="C33" s="64">
        <v>0.3541666666666667</v>
      </c>
      <c r="D33" s="65">
        <v>0.7291666666666666</v>
      </c>
      <c r="E33" s="69">
        <v>1.0</v>
      </c>
      <c r="F33" s="46">
        <f t="shared" si="3"/>
        <v>8</v>
      </c>
      <c r="G33" s="63" t="s">
        <v>52</v>
      </c>
      <c r="H33" s="63" t="s">
        <v>40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5" t="s">
        <v>45</v>
      </c>
      <c r="B34" s="59">
        <v>45484.0</v>
      </c>
      <c r="C34" s="67">
        <v>0.375</v>
      </c>
      <c r="D34" s="68">
        <v>0.75</v>
      </c>
      <c r="E34" s="66">
        <v>1.0</v>
      </c>
      <c r="F34" s="46">
        <f t="shared" si="3"/>
        <v>8</v>
      </c>
      <c r="G34" s="63" t="s">
        <v>53</v>
      </c>
      <c r="H34" s="63" t="s">
        <v>40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5" t="s">
        <v>47</v>
      </c>
      <c r="B35" s="59">
        <v>45485.0</v>
      </c>
      <c r="C35" s="67">
        <v>0.375</v>
      </c>
      <c r="D35" s="68">
        <v>0.75</v>
      </c>
      <c r="E35" s="69">
        <v>1.0</v>
      </c>
      <c r="F35" s="46">
        <f t="shared" si="3"/>
        <v>8</v>
      </c>
      <c r="G35" s="70" t="s">
        <v>54</v>
      </c>
      <c r="H35" s="70" t="s">
        <v>40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5" t="s">
        <v>49</v>
      </c>
      <c r="B36" s="59">
        <v>45486.0</v>
      </c>
      <c r="C36" s="71"/>
      <c r="D36" s="71"/>
      <c r="E36" s="72"/>
      <c r="F36" s="46">
        <f t="shared" si="3"/>
        <v>0</v>
      </c>
      <c r="G36" s="73"/>
      <c r="H36" s="7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5" t="s">
        <v>50</v>
      </c>
      <c r="B37" s="59">
        <v>45487.0</v>
      </c>
      <c r="C37" s="71"/>
      <c r="D37" s="71"/>
      <c r="E37" s="72"/>
      <c r="F37" s="46">
        <f t="shared" si="3"/>
        <v>0</v>
      </c>
      <c r="G37" s="73"/>
      <c r="H37" s="7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5" t="s">
        <v>38</v>
      </c>
      <c r="B38" s="59">
        <v>45488.0</v>
      </c>
      <c r="C38" s="64">
        <v>0.3541666666666667</v>
      </c>
      <c r="D38" s="65">
        <v>0.7291666666666666</v>
      </c>
      <c r="E38" s="66">
        <v>1.0</v>
      </c>
      <c r="F38" s="46">
        <f t="shared" si="3"/>
        <v>8</v>
      </c>
      <c r="G38" s="63" t="s">
        <v>55</v>
      </c>
      <c r="H38" s="63" t="s">
        <v>40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5" t="s">
        <v>41</v>
      </c>
      <c r="B39" s="59">
        <v>45489.0</v>
      </c>
      <c r="C39" s="67">
        <v>0.375</v>
      </c>
      <c r="D39" s="68">
        <v>0.75</v>
      </c>
      <c r="E39" s="66">
        <v>1.0</v>
      </c>
      <c r="F39" s="46">
        <f t="shared" si="3"/>
        <v>8</v>
      </c>
      <c r="G39" s="63" t="s">
        <v>56</v>
      </c>
      <c r="H39" s="63" t="s">
        <v>40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5" t="s">
        <v>43</v>
      </c>
      <c r="B40" s="59">
        <v>45490.0</v>
      </c>
      <c r="C40" s="67">
        <v>0.375</v>
      </c>
      <c r="D40" s="68">
        <v>0.75</v>
      </c>
      <c r="E40" s="69">
        <v>1.0</v>
      </c>
      <c r="F40" s="46">
        <f t="shared" si="3"/>
        <v>8</v>
      </c>
      <c r="G40" s="63" t="s">
        <v>57</v>
      </c>
      <c r="H40" s="63" t="s">
        <v>40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5" t="s">
        <v>45</v>
      </c>
      <c r="B41" s="59">
        <v>45491.0</v>
      </c>
      <c r="C41" s="64">
        <v>0.3541666666666667</v>
      </c>
      <c r="D41" s="65">
        <v>0.7291666666666666</v>
      </c>
      <c r="E41" s="66">
        <v>1.0</v>
      </c>
      <c r="F41" s="46">
        <f t="shared" si="3"/>
        <v>8</v>
      </c>
      <c r="G41" s="63" t="s">
        <v>58</v>
      </c>
      <c r="H41" s="63" t="s">
        <v>40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5" t="s">
        <v>47</v>
      </c>
      <c r="B42" s="59">
        <v>45492.0</v>
      </c>
      <c r="C42" s="67">
        <v>0.375</v>
      </c>
      <c r="D42" s="68">
        <v>0.75</v>
      </c>
      <c r="E42" s="69">
        <v>1.0</v>
      </c>
      <c r="F42" s="46">
        <f t="shared" si="3"/>
        <v>8</v>
      </c>
      <c r="G42" s="70" t="s">
        <v>59</v>
      </c>
      <c r="H42" s="70" t="s">
        <v>40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5" t="s">
        <v>49</v>
      </c>
      <c r="B43" s="59">
        <v>45493.0</v>
      </c>
      <c r="C43" s="71"/>
      <c r="D43" s="71"/>
      <c r="E43" s="72"/>
      <c r="F43" s="46">
        <f t="shared" si="3"/>
        <v>0</v>
      </c>
      <c r="G43" s="73"/>
      <c r="H43" s="7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5" t="s">
        <v>50</v>
      </c>
      <c r="B44" s="59">
        <v>45494.0</v>
      </c>
      <c r="C44" s="71"/>
      <c r="D44" s="71"/>
      <c r="E44" s="72"/>
      <c r="F44" s="46">
        <f t="shared" si="3"/>
        <v>0</v>
      </c>
      <c r="G44" s="73"/>
      <c r="H44" s="7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5" t="s">
        <v>38</v>
      </c>
      <c r="B45" s="59">
        <v>45495.0</v>
      </c>
      <c r="C45" s="60"/>
      <c r="D45" s="61"/>
      <c r="E45" s="62"/>
      <c r="F45" s="46">
        <f t="shared" si="3"/>
        <v>0</v>
      </c>
      <c r="G45" s="63" t="s">
        <v>60</v>
      </c>
      <c r="H45" s="7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5" t="s">
        <v>41</v>
      </c>
      <c r="B46" s="59">
        <v>45496.0</v>
      </c>
      <c r="C46" s="64"/>
      <c r="D46" s="65"/>
      <c r="E46" s="66"/>
      <c r="F46" s="46">
        <f t="shared" si="3"/>
        <v>0</v>
      </c>
      <c r="G46" s="63" t="s">
        <v>60</v>
      </c>
      <c r="H46" s="7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5" t="s">
        <v>43</v>
      </c>
      <c r="B47" s="59">
        <v>45497.0</v>
      </c>
      <c r="C47" s="67"/>
      <c r="D47" s="68"/>
      <c r="E47" s="69"/>
      <c r="F47" s="46">
        <f t="shared" si="3"/>
        <v>0</v>
      </c>
      <c r="G47" s="63" t="s">
        <v>60</v>
      </c>
      <c r="H47" s="7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5" t="s">
        <v>45</v>
      </c>
      <c r="B48" s="59">
        <v>45498.0</v>
      </c>
      <c r="C48" s="60">
        <v>0.3333333333333333</v>
      </c>
      <c r="D48" s="61">
        <v>0.7083333333333334</v>
      </c>
      <c r="E48" s="66">
        <v>1.0</v>
      </c>
      <c r="F48" s="46">
        <f t="shared" si="3"/>
        <v>8</v>
      </c>
      <c r="G48" s="63" t="s">
        <v>61</v>
      </c>
      <c r="H48" s="63" t="s">
        <v>40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5" t="s">
        <v>47</v>
      </c>
      <c r="B49" s="59">
        <v>45499.0</v>
      </c>
      <c r="C49" s="67">
        <v>0.375</v>
      </c>
      <c r="D49" s="68">
        <v>0.75</v>
      </c>
      <c r="E49" s="69">
        <v>1.0</v>
      </c>
      <c r="F49" s="46">
        <f t="shared" si="3"/>
        <v>8</v>
      </c>
      <c r="G49" s="70" t="s">
        <v>62</v>
      </c>
      <c r="H49" s="70" t="s">
        <v>40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5" t="s">
        <v>49</v>
      </c>
      <c r="B50" s="59">
        <v>45500.0</v>
      </c>
      <c r="C50" s="71"/>
      <c r="D50" s="71"/>
      <c r="E50" s="72"/>
      <c r="F50" s="46">
        <f t="shared" si="3"/>
        <v>0</v>
      </c>
      <c r="G50" s="73"/>
      <c r="H50" s="7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5" t="s">
        <v>50</v>
      </c>
      <c r="B51" s="59">
        <v>45501.0</v>
      </c>
      <c r="C51" s="71"/>
      <c r="D51" s="71"/>
      <c r="E51" s="72"/>
      <c r="F51" s="46">
        <f t="shared" si="3"/>
        <v>0</v>
      </c>
      <c r="G51" s="73"/>
      <c r="H51" s="7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5" t="s">
        <v>38</v>
      </c>
      <c r="B52" s="59">
        <v>45502.0</v>
      </c>
      <c r="C52" s="64">
        <v>0.3541666666666667</v>
      </c>
      <c r="D52" s="65">
        <v>0.7291666666666666</v>
      </c>
      <c r="E52" s="66">
        <v>1.0</v>
      </c>
      <c r="F52" s="46">
        <f t="shared" si="3"/>
        <v>8</v>
      </c>
      <c r="G52" s="63" t="s">
        <v>63</v>
      </c>
      <c r="H52" s="63" t="s">
        <v>40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5" t="s">
        <v>41</v>
      </c>
      <c r="B53" s="59">
        <v>45503.0</v>
      </c>
      <c r="C53" s="60">
        <v>0.3333333333333333</v>
      </c>
      <c r="D53" s="61">
        <v>0.7083333333333334</v>
      </c>
      <c r="E53" s="69">
        <v>1.0</v>
      </c>
      <c r="F53" s="46">
        <f t="shared" si="3"/>
        <v>8</v>
      </c>
      <c r="G53" s="63" t="s">
        <v>64</v>
      </c>
      <c r="H53" s="63" t="s">
        <v>40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5" t="s">
        <v>43</v>
      </c>
      <c r="B54" s="59">
        <v>45504.0</v>
      </c>
      <c r="C54" s="64">
        <v>0.3541666666666667</v>
      </c>
      <c r="D54" s="65">
        <v>0.7291666666666666</v>
      </c>
      <c r="E54" s="66">
        <v>1.0</v>
      </c>
      <c r="F54" s="46">
        <f t="shared" si="3"/>
        <v>8</v>
      </c>
      <c r="G54" s="63" t="s">
        <v>65</v>
      </c>
      <c r="H54" s="63" t="s">
        <v>40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5" t="s">
        <v>45</v>
      </c>
      <c r="B55" s="59">
        <v>45505.0</v>
      </c>
      <c r="C55" s="67">
        <v>0.375</v>
      </c>
      <c r="D55" s="68">
        <v>0.75</v>
      </c>
      <c r="E55" s="69">
        <v>1.0</v>
      </c>
      <c r="F55" s="46">
        <f t="shared" si="3"/>
        <v>8</v>
      </c>
      <c r="G55" s="63" t="s">
        <v>66</v>
      </c>
      <c r="H55" s="63" t="s">
        <v>40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5" t="s">
        <v>47</v>
      </c>
      <c r="B56" s="59">
        <v>45506.0</v>
      </c>
      <c r="C56" s="60">
        <v>0.3333333333333333</v>
      </c>
      <c r="D56" s="61">
        <v>0.7083333333333334</v>
      </c>
      <c r="E56" s="69">
        <v>1.0</v>
      </c>
      <c r="F56" s="46">
        <f t="shared" si="3"/>
        <v>8</v>
      </c>
      <c r="G56" s="70" t="s">
        <v>67</v>
      </c>
      <c r="H56" s="70" t="s">
        <v>40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5" t="s">
        <v>49</v>
      </c>
      <c r="B57" s="59">
        <v>45507.0</v>
      </c>
      <c r="C57" s="71"/>
      <c r="D57" s="71"/>
      <c r="E57" s="72"/>
      <c r="F57" s="46">
        <f t="shared" si="3"/>
        <v>0</v>
      </c>
      <c r="G57" s="73"/>
      <c r="H57" s="7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5" t="s">
        <v>50</v>
      </c>
      <c r="B58" s="59">
        <v>45508.0</v>
      </c>
      <c r="C58" s="71"/>
      <c r="D58" s="71"/>
      <c r="E58" s="72"/>
      <c r="F58" s="46">
        <f t="shared" si="3"/>
        <v>0</v>
      </c>
      <c r="G58" s="73"/>
      <c r="H58" s="7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5" t="s">
        <v>38</v>
      </c>
      <c r="B59" s="59">
        <v>45509.0</v>
      </c>
      <c r="C59" s="60">
        <v>0.3333333333333333</v>
      </c>
      <c r="D59" s="61">
        <v>0.7083333333333334</v>
      </c>
      <c r="E59" s="62">
        <v>1.0</v>
      </c>
      <c r="F59" s="46">
        <f t="shared" si="3"/>
        <v>8</v>
      </c>
      <c r="G59" s="63" t="s">
        <v>68</v>
      </c>
      <c r="H59" s="63" t="s">
        <v>40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5" t="s">
        <v>41</v>
      </c>
      <c r="B60" s="59">
        <v>45510.0</v>
      </c>
      <c r="C60" s="64">
        <v>0.3541666666666667</v>
      </c>
      <c r="D60" s="65">
        <v>0.7291666666666666</v>
      </c>
      <c r="E60" s="62">
        <v>1.0</v>
      </c>
      <c r="F60" s="46">
        <f t="shared" si="3"/>
        <v>8</v>
      </c>
      <c r="G60" s="63" t="s">
        <v>69</v>
      </c>
      <c r="H60" s="63" t="s">
        <v>40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5" t="s">
        <v>43</v>
      </c>
      <c r="B61" s="59">
        <v>45511.0</v>
      </c>
      <c r="C61" s="60">
        <v>0.3333333333333333</v>
      </c>
      <c r="D61" s="61">
        <v>0.7083333333333334</v>
      </c>
      <c r="E61" s="62">
        <v>1.0</v>
      </c>
      <c r="F61" s="46">
        <f t="shared" si="3"/>
        <v>8</v>
      </c>
      <c r="G61" s="63" t="s">
        <v>70</v>
      </c>
      <c r="H61" s="63" t="s">
        <v>40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5" t="s">
        <v>45</v>
      </c>
      <c r="B62" s="59">
        <v>45512.0</v>
      </c>
      <c r="C62" s="67">
        <v>0.375</v>
      </c>
      <c r="D62" s="68">
        <v>0.75</v>
      </c>
      <c r="E62" s="75">
        <v>1.0</v>
      </c>
      <c r="F62" s="76">
        <f t="shared" ref="F62:F63" si="4">(D62-C62)*24-E62</f>
        <v>8</v>
      </c>
      <c r="G62" s="77" t="s">
        <v>71</v>
      </c>
      <c r="H62" s="77" t="s">
        <v>72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5" t="s">
        <v>47</v>
      </c>
      <c r="B63" s="59">
        <v>45513.0</v>
      </c>
      <c r="C63" s="60">
        <v>0.3333333333333333</v>
      </c>
      <c r="D63" s="61">
        <v>0.7083333333333334</v>
      </c>
      <c r="E63" s="75">
        <v>1.0</v>
      </c>
      <c r="F63" s="76">
        <f t="shared" si="4"/>
        <v>8</v>
      </c>
      <c r="G63" s="77" t="s">
        <v>73</v>
      </c>
      <c r="H63" s="78" t="s">
        <v>40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5" t="s">
        <v>49</v>
      </c>
      <c r="B64" s="59">
        <v>45514.0</v>
      </c>
      <c r="C64" s="71"/>
      <c r="D64" s="71"/>
      <c r="E64" s="72"/>
      <c r="F64" s="46">
        <f t="shared" ref="F64:F388" si="5">(D64-C64)*24-E64</f>
        <v>0</v>
      </c>
      <c r="G64" s="73"/>
      <c r="H64" s="7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5" t="s">
        <v>50</v>
      </c>
      <c r="B65" s="59">
        <v>45515.0</v>
      </c>
      <c r="C65" s="71"/>
      <c r="D65" s="71"/>
      <c r="E65" s="72"/>
      <c r="F65" s="46">
        <f t="shared" si="5"/>
        <v>0</v>
      </c>
      <c r="G65" s="73"/>
      <c r="H65" s="7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5" t="s">
        <v>38</v>
      </c>
      <c r="B66" s="59">
        <v>45516.0</v>
      </c>
      <c r="C66" s="60">
        <v>0.3333333333333333</v>
      </c>
      <c r="D66" s="61">
        <v>0.7083333333333334</v>
      </c>
      <c r="E66" s="62">
        <v>1.0</v>
      </c>
      <c r="F66" s="46">
        <f t="shared" si="5"/>
        <v>8</v>
      </c>
      <c r="G66" s="63" t="s">
        <v>74</v>
      </c>
      <c r="H66" s="78" t="s">
        <v>40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5" t="s">
        <v>41</v>
      </c>
      <c r="B67" s="59">
        <v>45517.0</v>
      </c>
      <c r="C67" s="60">
        <v>0.3333333333333333</v>
      </c>
      <c r="D67" s="61">
        <v>0.7083333333333334</v>
      </c>
      <c r="E67" s="62">
        <v>1.0</v>
      </c>
      <c r="F67" s="46">
        <f t="shared" si="5"/>
        <v>8</v>
      </c>
      <c r="G67" s="63" t="s">
        <v>74</v>
      </c>
      <c r="H67" s="78" t="s">
        <v>40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5" t="s">
        <v>43</v>
      </c>
      <c r="B68" s="59">
        <v>45518.0</v>
      </c>
      <c r="C68" s="64">
        <v>0.3541666666666667</v>
      </c>
      <c r="D68" s="65">
        <v>0.7291666666666666</v>
      </c>
      <c r="E68" s="62">
        <v>1.0</v>
      </c>
      <c r="F68" s="46">
        <f t="shared" si="5"/>
        <v>8</v>
      </c>
      <c r="G68" s="63" t="s">
        <v>74</v>
      </c>
      <c r="H68" s="78" t="s">
        <v>40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5" t="s">
        <v>45</v>
      </c>
      <c r="B69" s="59">
        <v>45519.0</v>
      </c>
      <c r="C69" s="60">
        <v>0.3333333333333333</v>
      </c>
      <c r="D69" s="61">
        <v>0.7083333333333334</v>
      </c>
      <c r="E69" s="75">
        <v>1.0</v>
      </c>
      <c r="F69" s="46">
        <f t="shared" si="5"/>
        <v>8</v>
      </c>
      <c r="G69" s="63" t="s">
        <v>74</v>
      </c>
      <c r="H69" s="78" t="s">
        <v>40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5" t="s">
        <v>47</v>
      </c>
      <c r="B70" s="59">
        <v>45520.0</v>
      </c>
      <c r="C70" s="67">
        <v>0.375</v>
      </c>
      <c r="D70" s="68">
        <v>0.75</v>
      </c>
      <c r="E70" s="79"/>
      <c r="F70" s="46">
        <f t="shared" si="5"/>
        <v>9</v>
      </c>
      <c r="G70" s="63" t="s">
        <v>74</v>
      </c>
      <c r="H70" s="78" t="s">
        <v>40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5" t="s">
        <v>49</v>
      </c>
      <c r="B71" s="59">
        <v>45521.0</v>
      </c>
      <c r="C71" s="71"/>
      <c r="D71" s="71"/>
      <c r="E71" s="72"/>
      <c r="F71" s="46">
        <f t="shared" si="5"/>
        <v>0</v>
      </c>
      <c r="G71" s="73"/>
      <c r="H71" s="7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5" t="s">
        <v>50</v>
      </c>
      <c r="B72" s="59">
        <v>45522.0</v>
      </c>
      <c r="C72" s="71"/>
      <c r="D72" s="71"/>
      <c r="E72" s="72"/>
      <c r="F72" s="46">
        <f t="shared" si="5"/>
        <v>0</v>
      </c>
      <c r="G72" s="73"/>
      <c r="H72" s="7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5" t="s">
        <v>38</v>
      </c>
      <c r="B73" s="59">
        <v>45523.0</v>
      </c>
      <c r="C73" s="64"/>
      <c r="D73" s="65"/>
      <c r="E73" s="62"/>
      <c r="F73" s="46">
        <f t="shared" si="5"/>
        <v>0</v>
      </c>
      <c r="G73" s="63" t="s">
        <v>60</v>
      </c>
      <c r="H73" s="78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5" t="s">
        <v>41</v>
      </c>
      <c r="B74" s="59">
        <v>45524.0</v>
      </c>
      <c r="C74" s="60">
        <v>0.3333333333333333</v>
      </c>
      <c r="D74" s="61">
        <v>0.7083333333333334</v>
      </c>
      <c r="E74" s="62">
        <v>1.0</v>
      </c>
      <c r="F74" s="46">
        <f t="shared" si="5"/>
        <v>8</v>
      </c>
      <c r="G74" s="63" t="s">
        <v>75</v>
      </c>
      <c r="H74" s="78" t="s">
        <v>40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5" t="s">
        <v>43</v>
      </c>
      <c r="B75" s="59">
        <v>45525.0</v>
      </c>
      <c r="C75" s="67">
        <v>0.375</v>
      </c>
      <c r="D75" s="68">
        <v>0.75</v>
      </c>
      <c r="E75" s="62">
        <v>1.0</v>
      </c>
      <c r="F75" s="46">
        <f t="shared" si="5"/>
        <v>8</v>
      </c>
      <c r="G75" s="63" t="s">
        <v>75</v>
      </c>
      <c r="H75" s="63" t="s">
        <v>72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5" t="s">
        <v>45</v>
      </c>
      <c r="B76" s="59">
        <v>45526.0</v>
      </c>
      <c r="C76" s="67">
        <v>0.375</v>
      </c>
      <c r="D76" s="68">
        <v>0.75</v>
      </c>
      <c r="E76" s="62">
        <v>1.0</v>
      </c>
      <c r="F76" s="46">
        <f t="shared" si="5"/>
        <v>8</v>
      </c>
      <c r="G76" s="63" t="s">
        <v>76</v>
      </c>
      <c r="H76" s="78" t="s">
        <v>40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5" t="s">
        <v>47</v>
      </c>
      <c r="B77" s="59">
        <v>45527.0</v>
      </c>
      <c r="C77" s="60">
        <v>0.3333333333333333</v>
      </c>
      <c r="D77" s="61">
        <v>0.7083333333333334</v>
      </c>
      <c r="E77" s="62">
        <v>1.0</v>
      </c>
      <c r="F77" s="46">
        <f t="shared" si="5"/>
        <v>8</v>
      </c>
      <c r="G77" s="70" t="s">
        <v>77</v>
      </c>
      <c r="H77" s="70" t="s">
        <v>40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5" t="s">
        <v>49</v>
      </c>
      <c r="B78" s="59">
        <v>45528.0</v>
      </c>
      <c r="C78" s="71"/>
      <c r="D78" s="71"/>
      <c r="E78" s="72"/>
      <c r="F78" s="46">
        <f t="shared" si="5"/>
        <v>0</v>
      </c>
      <c r="G78" s="73"/>
      <c r="H78" s="7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5" t="s">
        <v>50</v>
      </c>
      <c r="B79" s="59">
        <v>45529.0</v>
      </c>
      <c r="C79" s="71"/>
      <c r="D79" s="71"/>
      <c r="E79" s="72"/>
      <c r="F79" s="46">
        <f t="shared" si="5"/>
        <v>0</v>
      </c>
      <c r="G79" s="73"/>
      <c r="H79" s="7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5" t="s">
        <v>38</v>
      </c>
      <c r="B80" s="59">
        <v>45530.0</v>
      </c>
      <c r="C80" s="60">
        <v>0.3333333333333333</v>
      </c>
      <c r="D80" s="61">
        <v>0.7083333333333334</v>
      </c>
      <c r="E80" s="62">
        <v>1.0</v>
      </c>
      <c r="F80" s="46">
        <f t="shared" si="5"/>
        <v>8</v>
      </c>
      <c r="G80" s="63" t="s">
        <v>78</v>
      </c>
      <c r="H80" s="63" t="s">
        <v>40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5" t="s">
        <v>41</v>
      </c>
      <c r="B81" s="59">
        <v>45531.0</v>
      </c>
      <c r="C81" s="60">
        <v>0.3333333333333333</v>
      </c>
      <c r="D81" s="61">
        <v>0.7083333333333334</v>
      </c>
      <c r="E81" s="62">
        <v>1.0</v>
      </c>
      <c r="F81" s="46">
        <f t="shared" si="5"/>
        <v>8</v>
      </c>
      <c r="G81" s="63" t="s">
        <v>79</v>
      </c>
      <c r="H81" s="63" t="s">
        <v>40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5" t="s">
        <v>43</v>
      </c>
      <c r="B82" s="59">
        <v>45532.0</v>
      </c>
      <c r="C82" s="64">
        <v>0.3541666666666667</v>
      </c>
      <c r="D82" s="65">
        <v>0.7291666666666666</v>
      </c>
      <c r="E82" s="62">
        <v>1.0</v>
      </c>
      <c r="F82" s="46">
        <f t="shared" si="5"/>
        <v>8</v>
      </c>
      <c r="G82" s="63" t="s">
        <v>80</v>
      </c>
      <c r="H82" s="63" t="s">
        <v>40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5" t="s">
        <v>45</v>
      </c>
      <c r="B83" s="59">
        <v>45533.0</v>
      </c>
      <c r="C83" s="60">
        <v>0.3333333333333333</v>
      </c>
      <c r="D83" s="61">
        <v>0.7083333333333334</v>
      </c>
      <c r="E83" s="62">
        <v>1.0</v>
      </c>
      <c r="F83" s="46">
        <f t="shared" si="5"/>
        <v>8</v>
      </c>
      <c r="G83" s="63" t="s">
        <v>81</v>
      </c>
      <c r="H83" s="63" t="s">
        <v>72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5" t="s">
        <v>47</v>
      </c>
      <c r="B84" s="59">
        <v>45534.0</v>
      </c>
      <c r="C84" s="67">
        <v>0.375</v>
      </c>
      <c r="D84" s="68">
        <v>0.75</v>
      </c>
      <c r="E84" s="75">
        <v>1.0</v>
      </c>
      <c r="F84" s="46">
        <f t="shared" si="5"/>
        <v>8</v>
      </c>
      <c r="G84" s="70" t="s">
        <v>82</v>
      </c>
      <c r="H84" s="70" t="s">
        <v>40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5" t="s">
        <v>49</v>
      </c>
      <c r="B85" s="59">
        <v>45535.0</v>
      </c>
      <c r="C85" s="71"/>
      <c r="D85" s="71"/>
      <c r="E85" s="72"/>
      <c r="F85" s="46">
        <f t="shared" si="5"/>
        <v>0</v>
      </c>
      <c r="G85" s="73"/>
      <c r="H85" s="7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5" t="s">
        <v>50</v>
      </c>
      <c r="B86" s="59">
        <v>45536.0</v>
      </c>
      <c r="C86" s="71"/>
      <c r="D86" s="71"/>
      <c r="E86" s="72"/>
      <c r="F86" s="46">
        <f t="shared" si="5"/>
        <v>0</v>
      </c>
      <c r="G86" s="73"/>
      <c r="H86" s="7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5" t="s">
        <v>38</v>
      </c>
      <c r="B87" s="59">
        <v>45537.0</v>
      </c>
      <c r="C87" s="60">
        <v>0.3333333333333333</v>
      </c>
      <c r="D87" s="61">
        <v>0.7083333333333334</v>
      </c>
      <c r="E87" s="62">
        <v>1.0</v>
      </c>
      <c r="F87" s="46">
        <f t="shared" si="5"/>
        <v>8</v>
      </c>
      <c r="G87" s="63" t="s">
        <v>83</v>
      </c>
      <c r="H87" s="63" t="s">
        <v>40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5" t="s">
        <v>41</v>
      </c>
      <c r="B88" s="59">
        <v>45538.0</v>
      </c>
      <c r="C88" s="60">
        <v>0.3333333333333333</v>
      </c>
      <c r="D88" s="61">
        <v>0.7083333333333334</v>
      </c>
      <c r="E88" s="62">
        <v>1.0</v>
      </c>
      <c r="F88" s="46">
        <f t="shared" si="5"/>
        <v>8</v>
      </c>
      <c r="G88" s="63" t="s">
        <v>83</v>
      </c>
      <c r="H88" s="63" t="s">
        <v>40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5" t="s">
        <v>43</v>
      </c>
      <c r="B89" s="59">
        <v>45539.0</v>
      </c>
      <c r="C89" s="64">
        <v>0.3541666666666667</v>
      </c>
      <c r="D89" s="65">
        <v>0.7291666666666666</v>
      </c>
      <c r="E89" s="62">
        <v>1.0</v>
      </c>
      <c r="F89" s="46">
        <f t="shared" si="5"/>
        <v>8</v>
      </c>
      <c r="G89" s="63" t="s">
        <v>83</v>
      </c>
      <c r="H89" s="63" t="s">
        <v>40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5" t="s">
        <v>45</v>
      </c>
      <c r="B90" s="59">
        <v>45540.0</v>
      </c>
      <c r="C90" s="60">
        <v>0.3333333333333333</v>
      </c>
      <c r="D90" s="61">
        <v>0.7083333333333334</v>
      </c>
      <c r="E90" s="62">
        <v>1.0</v>
      </c>
      <c r="F90" s="46">
        <f t="shared" si="5"/>
        <v>8</v>
      </c>
      <c r="G90" s="63" t="s">
        <v>83</v>
      </c>
      <c r="H90" s="63" t="s">
        <v>40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5" t="s">
        <v>47</v>
      </c>
      <c r="B91" s="59">
        <v>45541.0</v>
      </c>
      <c r="C91" s="67">
        <v>0.375</v>
      </c>
      <c r="D91" s="68">
        <v>0.75</v>
      </c>
      <c r="E91" s="75">
        <v>1.0</v>
      </c>
      <c r="F91" s="46">
        <f t="shared" si="5"/>
        <v>8</v>
      </c>
      <c r="G91" s="70" t="s">
        <v>84</v>
      </c>
      <c r="H91" s="70" t="s">
        <v>40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5" t="s">
        <v>49</v>
      </c>
      <c r="B92" s="59">
        <v>45542.0</v>
      </c>
      <c r="C92" s="71"/>
      <c r="D92" s="71"/>
      <c r="E92" s="72"/>
      <c r="F92" s="46">
        <f t="shared" si="5"/>
        <v>0</v>
      </c>
      <c r="G92" s="73"/>
      <c r="H92" s="7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5" t="s">
        <v>50</v>
      </c>
      <c r="B93" s="59">
        <v>45543.0</v>
      </c>
      <c r="C93" s="71"/>
      <c r="D93" s="71"/>
      <c r="E93" s="72"/>
      <c r="F93" s="46">
        <f t="shared" si="5"/>
        <v>0</v>
      </c>
      <c r="G93" s="73"/>
      <c r="H93" s="7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5" t="s">
        <v>38</v>
      </c>
      <c r="B94" s="59">
        <v>45544.0</v>
      </c>
      <c r="C94" s="60">
        <v>0.3333333333333333</v>
      </c>
      <c r="D94" s="61">
        <v>0.7083333333333334</v>
      </c>
      <c r="E94" s="62">
        <v>1.0</v>
      </c>
      <c r="F94" s="46">
        <f t="shared" si="5"/>
        <v>8</v>
      </c>
      <c r="G94" s="63" t="s">
        <v>85</v>
      </c>
      <c r="H94" s="63" t="s">
        <v>40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5" t="s">
        <v>41</v>
      </c>
      <c r="B95" s="59">
        <v>45545.0</v>
      </c>
      <c r="C95" s="64">
        <v>0.3541666666666667</v>
      </c>
      <c r="D95" s="65">
        <v>0.7291666666666666</v>
      </c>
      <c r="E95" s="62">
        <v>1.0</v>
      </c>
      <c r="F95" s="46">
        <f t="shared" si="5"/>
        <v>8</v>
      </c>
      <c r="G95" s="63" t="s">
        <v>86</v>
      </c>
      <c r="H95" s="63" t="s">
        <v>40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5" t="s">
        <v>43</v>
      </c>
      <c r="B96" s="59">
        <v>45546.0</v>
      </c>
      <c r="C96" s="64">
        <v>0.3541666666666667</v>
      </c>
      <c r="D96" s="65">
        <v>0.7291666666666666</v>
      </c>
      <c r="E96" s="62">
        <v>1.0</v>
      </c>
      <c r="F96" s="46">
        <f t="shared" si="5"/>
        <v>8</v>
      </c>
      <c r="G96" s="63" t="s">
        <v>87</v>
      </c>
      <c r="H96" s="63" t="s">
        <v>40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5" t="s">
        <v>45</v>
      </c>
      <c r="B97" s="59">
        <v>45547.0</v>
      </c>
      <c r="C97" s="64">
        <v>0.3541666666666667</v>
      </c>
      <c r="D97" s="65">
        <v>0.7291666666666666</v>
      </c>
      <c r="E97" s="62">
        <v>1.0</v>
      </c>
      <c r="F97" s="46">
        <f t="shared" si="5"/>
        <v>8</v>
      </c>
      <c r="G97" s="63" t="s">
        <v>88</v>
      </c>
      <c r="H97" s="63" t="s">
        <v>40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5" t="s">
        <v>47</v>
      </c>
      <c r="B98" s="59">
        <v>45548.0</v>
      </c>
      <c r="C98" s="64">
        <v>0.3541666666666667</v>
      </c>
      <c r="D98" s="65">
        <v>0.7291666666666666</v>
      </c>
      <c r="E98" s="62">
        <v>1.0</v>
      </c>
      <c r="F98" s="46">
        <f t="shared" si="5"/>
        <v>8</v>
      </c>
      <c r="G98" s="70" t="s">
        <v>89</v>
      </c>
      <c r="H98" s="70" t="s">
        <v>40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5" t="s">
        <v>49</v>
      </c>
      <c r="B99" s="59">
        <v>45549.0</v>
      </c>
      <c r="C99" s="71"/>
      <c r="D99" s="71"/>
      <c r="E99" s="72"/>
      <c r="F99" s="46">
        <f t="shared" si="5"/>
        <v>0</v>
      </c>
      <c r="G99" s="73"/>
      <c r="H99" s="7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5" t="s">
        <v>50</v>
      </c>
      <c r="B100" s="59">
        <v>45550.0</v>
      </c>
      <c r="C100" s="71"/>
      <c r="D100" s="71"/>
      <c r="E100" s="72"/>
      <c r="F100" s="46">
        <f t="shared" si="5"/>
        <v>0</v>
      </c>
      <c r="G100" s="73"/>
      <c r="H100" s="7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5" t="s">
        <v>38</v>
      </c>
      <c r="B101" s="59">
        <v>45551.0</v>
      </c>
      <c r="C101" s="64">
        <v>0.3541666666666667</v>
      </c>
      <c r="D101" s="65">
        <v>0.7291666666666666</v>
      </c>
      <c r="E101" s="62">
        <v>1.0</v>
      </c>
      <c r="F101" s="46">
        <f t="shared" si="5"/>
        <v>8</v>
      </c>
      <c r="G101" s="63" t="s">
        <v>90</v>
      </c>
      <c r="H101" s="63" t="s">
        <v>40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5" t="s">
        <v>41</v>
      </c>
      <c r="B102" s="59">
        <v>45552.0</v>
      </c>
      <c r="C102" s="64">
        <v>0.3541666666666667</v>
      </c>
      <c r="D102" s="65">
        <v>0.7291666666666666</v>
      </c>
      <c r="E102" s="62">
        <v>1.0</v>
      </c>
      <c r="F102" s="46">
        <f t="shared" si="5"/>
        <v>8</v>
      </c>
      <c r="G102" s="63" t="s">
        <v>91</v>
      </c>
      <c r="H102" s="63" t="s">
        <v>40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5" t="s">
        <v>43</v>
      </c>
      <c r="B103" s="59">
        <v>45553.0</v>
      </c>
      <c r="C103" s="67">
        <v>0.375</v>
      </c>
      <c r="D103" s="68">
        <v>0.75</v>
      </c>
      <c r="E103" s="62">
        <v>1.0</v>
      </c>
      <c r="F103" s="46">
        <f t="shared" si="5"/>
        <v>8</v>
      </c>
      <c r="G103" s="63" t="s">
        <v>92</v>
      </c>
      <c r="H103" s="63" t="s">
        <v>40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5" t="s">
        <v>45</v>
      </c>
      <c r="B104" s="59">
        <v>45554.0</v>
      </c>
      <c r="C104" s="64">
        <v>0.3541666666666667</v>
      </c>
      <c r="D104" s="65">
        <v>0.7291666666666666</v>
      </c>
      <c r="E104" s="62">
        <v>1.0</v>
      </c>
      <c r="F104" s="46">
        <f t="shared" si="5"/>
        <v>8</v>
      </c>
      <c r="G104" s="63" t="s">
        <v>93</v>
      </c>
      <c r="H104" s="63" t="s">
        <v>40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5" t="s">
        <v>47</v>
      </c>
      <c r="B105" s="59">
        <v>45555.0</v>
      </c>
      <c r="C105" s="67">
        <v>0.375</v>
      </c>
      <c r="D105" s="68">
        <v>0.75</v>
      </c>
      <c r="E105" s="62">
        <v>1.0</v>
      </c>
      <c r="F105" s="46">
        <f t="shared" si="5"/>
        <v>8</v>
      </c>
      <c r="G105" s="70" t="s">
        <v>94</v>
      </c>
      <c r="H105" s="70" t="s">
        <v>40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5" t="s">
        <v>49</v>
      </c>
      <c r="B106" s="59">
        <v>45556.0</v>
      </c>
      <c r="C106" s="71"/>
      <c r="D106" s="71"/>
      <c r="E106" s="72"/>
      <c r="F106" s="46">
        <f t="shared" si="5"/>
        <v>0</v>
      </c>
      <c r="G106" s="73"/>
      <c r="H106" s="7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5" t="s">
        <v>50</v>
      </c>
      <c r="B107" s="59">
        <v>45557.0</v>
      </c>
      <c r="C107" s="71"/>
      <c r="D107" s="71"/>
      <c r="E107" s="72"/>
      <c r="F107" s="46">
        <f t="shared" si="5"/>
        <v>0</v>
      </c>
      <c r="G107" s="73"/>
      <c r="H107" s="7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5" t="s">
        <v>38</v>
      </c>
      <c r="B108" s="59">
        <v>45558.0</v>
      </c>
      <c r="C108" s="64">
        <v>0.3541666666666667</v>
      </c>
      <c r="D108" s="65">
        <v>0.7291666666666666</v>
      </c>
      <c r="E108" s="62">
        <v>1.0</v>
      </c>
      <c r="F108" s="46">
        <f t="shared" si="5"/>
        <v>8</v>
      </c>
      <c r="G108" s="63" t="s">
        <v>95</v>
      </c>
      <c r="H108" s="63" t="s">
        <v>40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5" t="s">
        <v>41</v>
      </c>
      <c r="B109" s="59">
        <v>45559.0</v>
      </c>
      <c r="C109" s="67">
        <v>0.375</v>
      </c>
      <c r="D109" s="68">
        <v>0.75</v>
      </c>
      <c r="E109" s="62">
        <v>1.0</v>
      </c>
      <c r="F109" s="46">
        <f t="shared" si="5"/>
        <v>8</v>
      </c>
      <c r="G109" s="63" t="s">
        <v>96</v>
      </c>
      <c r="H109" s="63" t="s">
        <v>40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5" t="s">
        <v>43</v>
      </c>
      <c r="B110" s="59">
        <v>45560.0</v>
      </c>
      <c r="C110" s="80">
        <v>0.375</v>
      </c>
      <c r="D110" s="81">
        <v>0.75</v>
      </c>
      <c r="E110" s="62">
        <v>1.0</v>
      </c>
      <c r="F110" s="46">
        <f t="shared" si="5"/>
        <v>8</v>
      </c>
      <c r="G110" s="63" t="s">
        <v>97</v>
      </c>
      <c r="H110" s="63" t="s">
        <v>40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5" t="s">
        <v>45</v>
      </c>
      <c r="B111" s="59">
        <v>45561.0</v>
      </c>
      <c r="C111" s="80">
        <v>0.375</v>
      </c>
      <c r="D111" s="81">
        <v>0.75</v>
      </c>
      <c r="E111" s="62">
        <v>1.0</v>
      </c>
      <c r="F111" s="46">
        <f t="shared" si="5"/>
        <v>8</v>
      </c>
      <c r="G111" s="63" t="s">
        <v>98</v>
      </c>
      <c r="H111" s="63" t="s">
        <v>40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5" t="s">
        <v>47</v>
      </c>
      <c r="B112" s="59">
        <v>45562.0</v>
      </c>
      <c r="C112" s="82">
        <v>0.3541666666666667</v>
      </c>
      <c r="D112" s="83">
        <v>0.7291666666666666</v>
      </c>
      <c r="E112" s="62">
        <v>1.0</v>
      </c>
      <c r="F112" s="46">
        <f t="shared" si="5"/>
        <v>8</v>
      </c>
      <c r="G112" s="84"/>
      <c r="H112" s="70" t="s">
        <v>40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5" t="s">
        <v>49</v>
      </c>
      <c r="B113" s="59">
        <v>45563.0</v>
      </c>
      <c r="C113" s="71"/>
      <c r="D113" s="71"/>
      <c r="E113" s="72"/>
      <c r="F113" s="46">
        <f t="shared" si="5"/>
        <v>0</v>
      </c>
      <c r="G113" s="73"/>
      <c r="H113" s="7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5" t="s">
        <v>50</v>
      </c>
      <c r="B114" s="59">
        <v>45564.0</v>
      </c>
      <c r="C114" s="71"/>
      <c r="D114" s="71"/>
      <c r="E114" s="72"/>
      <c r="F114" s="46">
        <f t="shared" si="5"/>
        <v>0</v>
      </c>
      <c r="G114" s="73"/>
      <c r="H114" s="7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5" t="s">
        <v>38</v>
      </c>
      <c r="B115" s="59">
        <v>45565.0</v>
      </c>
      <c r="C115" s="64">
        <v>0.3541666666666667</v>
      </c>
      <c r="D115" s="65">
        <v>0.7291666666666666</v>
      </c>
      <c r="E115" s="62">
        <v>1.0</v>
      </c>
      <c r="F115" s="46">
        <f t="shared" si="5"/>
        <v>8</v>
      </c>
      <c r="G115" s="63" t="s">
        <v>99</v>
      </c>
      <c r="H115" s="63" t="s">
        <v>40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5" t="s">
        <v>41</v>
      </c>
      <c r="B116" s="59">
        <v>45566.0</v>
      </c>
      <c r="C116" s="85"/>
      <c r="D116" s="85"/>
      <c r="E116" s="75"/>
      <c r="F116" s="46">
        <f t="shared" si="5"/>
        <v>0</v>
      </c>
      <c r="G116" s="63" t="s">
        <v>100</v>
      </c>
      <c r="H116" s="7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5" t="s">
        <v>43</v>
      </c>
      <c r="B117" s="59">
        <v>45567.0</v>
      </c>
      <c r="C117" s="64">
        <v>0.3541666666666667</v>
      </c>
      <c r="D117" s="65">
        <v>0.7291666666666666</v>
      </c>
      <c r="E117" s="62">
        <v>1.0</v>
      </c>
      <c r="F117" s="46">
        <f t="shared" si="5"/>
        <v>8</v>
      </c>
      <c r="G117" s="63" t="s">
        <v>101</v>
      </c>
      <c r="H117" s="63" t="s">
        <v>40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5" t="s">
        <v>45</v>
      </c>
      <c r="B118" s="59">
        <v>45568.0</v>
      </c>
      <c r="C118" s="64">
        <v>0.3541666666666667</v>
      </c>
      <c r="D118" s="65">
        <v>0.7291666666666666</v>
      </c>
      <c r="E118" s="62">
        <v>1.0</v>
      </c>
      <c r="F118" s="46">
        <f t="shared" si="5"/>
        <v>8</v>
      </c>
      <c r="G118" s="63" t="s">
        <v>102</v>
      </c>
      <c r="H118" s="63" t="s">
        <v>40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5" t="s">
        <v>47</v>
      </c>
      <c r="B119" s="59">
        <v>45569.0</v>
      </c>
      <c r="C119" s="85"/>
      <c r="D119" s="85"/>
      <c r="E119" s="79"/>
      <c r="F119" s="46">
        <f t="shared" si="5"/>
        <v>0</v>
      </c>
      <c r="G119" s="70" t="s">
        <v>103</v>
      </c>
      <c r="H119" s="8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5" t="s">
        <v>49</v>
      </c>
      <c r="B120" s="59">
        <v>45570.0</v>
      </c>
      <c r="C120" s="71"/>
      <c r="D120" s="71"/>
      <c r="E120" s="72"/>
      <c r="F120" s="46">
        <f t="shared" si="5"/>
        <v>0</v>
      </c>
      <c r="G120" s="73"/>
      <c r="H120" s="7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5" t="s">
        <v>50</v>
      </c>
      <c r="B121" s="59">
        <v>45571.0</v>
      </c>
      <c r="C121" s="71"/>
      <c r="D121" s="71"/>
      <c r="E121" s="72"/>
      <c r="F121" s="46">
        <f t="shared" si="5"/>
        <v>0</v>
      </c>
      <c r="G121" s="73"/>
      <c r="H121" s="7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5" t="s">
        <v>38</v>
      </c>
      <c r="B122" s="59">
        <v>45572.0</v>
      </c>
      <c r="C122" s="64">
        <v>0.3541666666666667</v>
      </c>
      <c r="D122" s="65">
        <v>0.7291666666666666</v>
      </c>
      <c r="E122" s="75">
        <v>1.0</v>
      </c>
      <c r="F122" s="46">
        <f t="shared" si="5"/>
        <v>8</v>
      </c>
      <c r="G122" s="63" t="s">
        <v>104</v>
      </c>
      <c r="H122" s="63" t="s">
        <v>40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5" t="s">
        <v>41</v>
      </c>
      <c r="B123" s="59">
        <v>45573.0</v>
      </c>
      <c r="C123" s="64">
        <v>0.3541666666666667</v>
      </c>
      <c r="D123" s="65">
        <v>0.7291666666666666</v>
      </c>
      <c r="E123" s="75">
        <v>1.0</v>
      </c>
      <c r="F123" s="46">
        <f t="shared" si="5"/>
        <v>8</v>
      </c>
      <c r="G123" s="63" t="s">
        <v>105</v>
      </c>
      <c r="H123" s="63" t="s">
        <v>40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5" t="s">
        <v>43</v>
      </c>
      <c r="B124" s="59">
        <v>45574.0</v>
      </c>
      <c r="C124" s="67">
        <v>0.375</v>
      </c>
      <c r="D124" s="68">
        <v>0.75</v>
      </c>
      <c r="E124" s="75">
        <v>1.0</v>
      </c>
      <c r="F124" s="46">
        <f t="shared" si="5"/>
        <v>8</v>
      </c>
      <c r="G124" s="63" t="s">
        <v>106</v>
      </c>
      <c r="H124" s="63" t="s">
        <v>40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5" t="s">
        <v>45</v>
      </c>
      <c r="B125" s="59">
        <v>45575.0</v>
      </c>
      <c r="C125" s="64">
        <v>0.3541666666666667</v>
      </c>
      <c r="D125" s="65">
        <v>0.7291666666666666</v>
      </c>
      <c r="E125" s="75">
        <v>1.0</v>
      </c>
      <c r="F125" s="46">
        <f t="shared" si="5"/>
        <v>8</v>
      </c>
      <c r="G125" s="63" t="s">
        <v>107</v>
      </c>
      <c r="H125" s="63" t="s">
        <v>40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5" t="s">
        <v>47</v>
      </c>
      <c r="B126" s="59">
        <v>45576.0</v>
      </c>
      <c r="C126" s="67">
        <v>0.375</v>
      </c>
      <c r="D126" s="68">
        <v>0.75</v>
      </c>
      <c r="E126" s="75">
        <v>1.0</v>
      </c>
      <c r="F126" s="46">
        <f t="shared" si="5"/>
        <v>8</v>
      </c>
      <c r="G126" s="70" t="s">
        <v>108</v>
      </c>
      <c r="H126" s="63" t="s">
        <v>40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5" t="s">
        <v>49</v>
      </c>
      <c r="B127" s="59">
        <v>45577.0</v>
      </c>
      <c r="C127" s="71"/>
      <c r="D127" s="71"/>
      <c r="E127" s="72"/>
      <c r="F127" s="46">
        <f t="shared" si="5"/>
        <v>0</v>
      </c>
      <c r="G127" s="73"/>
      <c r="H127" s="7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5" t="s">
        <v>50</v>
      </c>
      <c r="B128" s="59">
        <v>45578.0</v>
      </c>
      <c r="C128" s="71"/>
      <c r="D128" s="71"/>
      <c r="E128" s="72"/>
      <c r="F128" s="46">
        <f t="shared" si="5"/>
        <v>0</v>
      </c>
      <c r="G128" s="73"/>
      <c r="H128" s="7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5" t="s">
        <v>38</v>
      </c>
      <c r="B129" s="59">
        <v>45579.0</v>
      </c>
      <c r="C129" s="64">
        <v>0.3541666666666667</v>
      </c>
      <c r="D129" s="65">
        <v>0.7291666666666666</v>
      </c>
      <c r="E129" s="75">
        <v>1.0</v>
      </c>
      <c r="F129" s="46">
        <f t="shared" si="5"/>
        <v>8</v>
      </c>
      <c r="G129" s="63" t="s">
        <v>109</v>
      </c>
      <c r="H129" s="63" t="s">
        <v>40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5" t="s">
        <v>41</v>
      </c>
      <c r="B130" s="59">
        <v>45580.0</v>
      </c>
      <c r="C130" s="64">
        <v>0.3541666666666667</v>
      </c>
      <c r="D130" s="65">
        <v>0.7291666666666666</v>
      </c>
      <c r="E130" s="75">
        <v>1.0</v>
      </c>
      <c r="F130" s="46">
        <f t="shared" si="5"/>
        <v>8</v>
      </c>
      <c r="G130" s="63" t="s">
        <v>109</v>
      </c>
      <c r="H130" s="63" t="s">
        <v>40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5" t="s">
        <v>43</v>
      </c>
      <c r="B131" s="59">
        <v>45581.0</v>
      </c>
      <c r="C131" s="64">
        <v>0.3541666666666667</v>
      </c>
      <c r="D131" s="65">
        <v>0.7291666666666666</v>
      </c>
      <c r="E131" s="75">
        <v>1.0</v>
      </c>
      <c r="F131" s="46">
        <f t="shared" si="5"/>
        <v>8</v>
      </c>
      <c r="G131" s="63" t="s">
        <v>109</v>
      </c>
      <c r="H131" s="63" t="s">
        <v>40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5" t="s">
        <v>45</v>
      </c>
      <c r="B132" s="59">
        <v>45582.0</v>
      </c>
      <c r="C132" s="64">
        <v>0.3541666666666667</v>
      </c>
      <c r="D132" s="65">
        <v>0.7291666666666666</v>
      </c>
      <c r="E132" s="75">
        <v>1.0</v>
      </c>
      <c r="F132" s="46">
        <f t="shared" si="5"/>
        <v>8</v>
      </c>
      <c r="G132" s="63" t="s">
        <v>109</v>
      </c>
      <c r="H132" s="63" t="s">
        <v>40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5" t="s">
        <v>47</v>
      </c>
      <c r="B133" s="59">
        <v>45583.0</v>
      </c>
      <c r="C133" s="64">
        <v>0.3541666666666667</v>
      </c>
      <c r="D133" s="65">
        <v>0.7291666666666666</v>
      </c>
      <c r="E133" s="75">
        <v>1.0</v>
      </c>
      <c r="F133" s="46">
        <f t="shared" si="5"/>
        <v>8</v>
      </c>
      <c r="G133" s="63" t="s">
        <v>109</v>
      </c>
      <c r="H133" s="63" t="s">
        <v>40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5" t="s">
        <v>49</v>
      </c>
      <c r="B134" s="59">
        <v>45584.0</v>
      </c>
      <c r="C134" s="71"/>
      <c r="D134" s="71"/>
      <c r="E134" s="72"/>
      <c r="F134" s="46">
        <f t="shared" si="5"/>
        <v>0</v>
      </c>
      <c r="G134" s="73"/>
      <c r="H134" s="7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5" t="s">
        <v>50</v>
      </c>
      <c r="B135" s="59">
        <v>45585.0</v>
      </c>
      <c r="C135" s="71"/>
      <c r="D135" s="71"/>
      <c r="E135" s="72"/>
      <c r="F135" s="46">
        <f t="shared" si="5"/>
        <v>0</v>
      </c>
      <c r="G135" s="73"/>
      <c r="H135" s="7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5" t="s">
        <v>38</v>
      </c>
      <c r="B136" s="59">
        <v>45586.0</v>
      </c>
      <c r="C136" s="67">
        <v>0.375</v>
      </c>
      <c r="D136" s="68">
        <v>0.75</v>
      </c>
      <c r="E136" s="75">
        <v>1.0</v>
      </c>
      <c r="F136" s="46">
        <f t="shared" si="5"/>
        <v>8</v>
      </c>
      <c r="G136" s="63" t="s">
        <v>109</v>
      </c>
      <c r="H136" s="63" t="s">
        <v>40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5" t="s">
        <v>41</v>
      </c>
      <c r="B137" s="59">
        <v>45587.0</v>
      </c>
      <c r="C137" s="64">
        <v>0.3541666666666667</v>
      </c>
      <c r="D137" s="65">
        <v>0.7291666666666666</v>
      </c>
      <c r="E137" s="75">
        <v>1.0</v>
      </c>
      <c r="F137" s="46">
        <f t="shared" si="5"/>
        <v>8</v>
      </c>
      <c r="G137" s="63" t="s">
        <v>109</v>
      </c>
      <c r="H137" s="63" t="s">
        <v>40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5" t="s">
        <v>43</v>
      </c>
      <c r="B138" s="59">
        <v>45588.0</v>
      </c>
      <c r="C138" s="67">
        <v>0.375</v>
      </c>
      <c r="D138" s="68">
        <v>0.75</v>
      </c>
      <c r="E138" s="75">
        <v>1.0</v>
      </c>
      <c r="F138" s="46">
        <f t="shared" si="5"/>
        <v>8</v>
      </c>
      <c r="G138" s="63" t="s">
        <v>109</v>
      </c>
      <c r="H138" s="63" t="s">
        <v>40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5" t="s">
        <v>45</v>
      </c>
      <c r="B139" s="59">
        <v>45589.0</v>
      </c>
      <c r="C139" s="67"/>
      <c r="D139" s="68"/>
      <c r="E139" s="75"/>
      <c r="F139" s="46">
        <f t="shared" si="5"/>
        <v>0</v>
      </c>
      <c r="G139" s="63" t="s">
        <v>60</v>
      </c>
      <c r="H139" s="7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5" t="s">
        <v>47</v>
      </c>
      <c r="B140" s="59">
        <v>45590.0</v>
      </c>
      <c r="C140" s="64"/>
      <c r="D140" s="65"/>
      <c r="E140" s="75"/>
      <c r="F140" s="46">
        <f t="shared" si="5"/>
        <v>0</v>
      </c>
      <c r="G140" s="70" t="s">
        <v>60</v>
      </c>
      <c r="H140" s="8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5" t="s">
        <v>49</v>
      </c>
      <c r="B141" s="59">
        <v>45591.0</v>
      </c>
      <c r="C141" s="71"/>
      <c r="D141" s="71"/>
      <c r="E141" s="72"/>
      <c r="F141" s="46">
        <f t="shared" si="5"/>
        <v>0</v>
      </c>
      <c r="G141" s="73"/>
      <c r="H141" s="7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5" t="s">
        <v>50</v>
      </c>
      <c r="B142" s="59">
        <v>45592.0</v>
      </c>
      <c r="C142" s="71"/>
      <c r="D142" s="71"/>
      <c r="E142" s="72"/>
      <c r="F142" s="46">
        <f t="shared" si="5"/>
        <v>0</v>
      </c>
      <c r="G142" s="73"/>
      <c r="H142" s="7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5" t="s">
        <v>38</v>
      </c>
      <c r="B143" s="59">
        <v>45593.0</v>
      </c>
      <c r="C143" s="67">
        <v>0.375</v>
      </c>
      <c r="D143" s="68">
        <v>0.75</v>
      </c>
      <c r="E143" s="75">
        <v>1.0</v>
      </c>
      <c r="F143" s="46">
        <f t="shared" si="5"/>
        <v>8</v>
      </c>
      <c r="G143" s="63" t="s">
        <v>109</v>
      </c>
      <c r="H143" s="63" t="s">
        <v>40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5" t="s">
        <v>41</v>
      </c>
      <c r="B144" s="59">
        <v>45594.0</v>
      </c>
      <c r="C144" s="67">
        <v>0.375</v>
      </c>
      <c r="D144" s="68">
        <v>0.75</v>
      </c>
      <c r="E144" s="75">
        <v>1.0</v>
      </c>
      <c r="F144" s="46">
        <f t="shared" si="5"/>
        <v>8</v>
      </c>
      <c r="G144" s="63" t="s">
        <v>110</v>
      </c>
      <c r="H144" s="63" t="s">
        <v>40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5" t="s">
        <v>43</v>
      </c>
      <c r="B145" s="59">
        <v>45595.0</v>
      </c>
      <c r="C145" s="67">
        <v>0.375</v>
      </c>
      <c r="D145" s="68">
        <v>0.75</v>
      </c>
      <c r="E145" s="75">
        <v>1.0</v>
      </c>
      <c r="F145" s="46">
        <f t="shared" si="5"/>
        <v>8</v>
      </c>
      <c r="G145" s="63" t="s">
        <v>110</v>
      </c>
      <c r="H145" s="63" t="s">
        <v>40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5" t="s">
        <v>45</v>
      </c>
      <c r="B146" s="59">
        <v>45596.0</v>
      </c>
      <c r="C146" s="67">
        <v>0.375</v>
      </c>
      <c r="D146" s="68">
        <v>0.75</v>
      </c>
      <c r="E146" s="75">
        <v>1.0</v>
      </c>
      <c r="F146" s="46">
        <f t="shared" si="5"/>
        <v>8</v>
      </c>
      <c r="G146" s="63" t="s">
        <v>111</v>
      </c>
      <c r="H146" s="63" t="s">
        <v>40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5" t="s">
        <v>47</v>
      </c>
      <c r="B147" s="59">
        <v>45597.0</v>
      </c>
      <c r="C147" s="67">
        <v>0.375</v>
      </c>
      <c r="D147" s="68">
        <v>0.75</v>
      </c>
      <c r="E147" s="75">
        <v>1.0</v>
      </c>
      <c r="F147" s="46">
        <f t="shared" si="5"/>
        <v>8</v>
      </c>
      <c r="G147" s="63" t="s">
        <v>111</v>
      </c>
      <c r="H147" s="63" t="s">
        <v>40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5" t="s">
        <v>49</v>
      </c>
      <c r="B148" s="59">
        <v>45598.0</v>
      </c>
      <c r="C148" s="71"/>
      <c r="D148" s="71"/>
      <c r="E148" s="72"/>
      <c r="F148" s="46">
        <f t="shared" si="5"/>
        <v>0</v>
      </c>
      <c r="G148" s="73"/>
      <c r="H148" s="7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5" t="s">
        <v>50</v>
      </c>
      <c r="B149" s="59">
        <v>45599.0</v>
      </c>
      <c r="C149" s="71"/>
      <c r="D149" s="71"/>
      <c r="E149" s="72"/>
      <c r="F149" s="46">
        <f t="shared" si="5"/>
        <v>0</v>
      </c>
      <c r="G149" s="73"/>
      <c r="H149" s="7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5" t="s">
        <v>38</v>
      </c>
      <c r="B150" s="59">
        <v>45600.0</v>
      </c>
      <c r="C150" s="85"/>
      <c r="D150" s="85"/>
      <c r="E150" s="79"/>
      <c r="F150" s="46">
        <f t="shared" si="5"/>
        <v>0</v>
      </c>
      <c r="G150" s="74"/>
      <c r="H150" s="7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5" t="s">
        <v>41</v>
      </c>
      <c r="B151" s="59">
        <v>45601.0</v>
      </c>
      <c r="C151" s="85"/>
      <c r="D151" s="85"/>
      <c r="E151" s="79"/>
      <c r="F151" s="46">
        <f t="shared" si="5"/>
        <v>0</v>
      </c>
      <c r="G151" s="74"/>
      <c r="H151" s="7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5" t="s">
        <v>43</v>
      </c>
      <c r="B152" s="59">
        <v>45602.0</v>
      </c>
      <c r="C152" s="85"/>
      <c r="D152" s="85"/>
      <c r="E152" s="79"/>
      <c r="F152" s="46">
        <f t="shared" si="5"/>
        <v>0</v>
      </c>
      <c r="G152" s="74"/>
      <c r="H152" s="7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5" t="s">
        <v>45</v>
      </c>
      <c r="B153" s="59">
        <v>45603.0</v>
      </c>
      <c r="C153" s="85"/>
      <c r="D153" s="85"/>
      <c r="E153" s="79"/>
      <c r="F153" s="46">
        <f t="shared" si="5"/>
        <v>0</v>
      </c>
      <c r="G153" s="74"/>
      <c r="H153" s="7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5" t="s">
        <v>47</v>
      </c>
      <c r="B154" s="59">
        <v>45604.0</v>
      </c>
      <c r="C154" s="85"/>
      <c r="D154" s="85"/>
      <c r="E154" s="79"/>
      <c r="F154" s="46">
        <f t="shared" si="5"/>
        <v>0</v>
      </c>
      <c r="G154" s="84"/>
      <c r="H154" s="8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5" t="s">
        <v>49</v>
      </c>
      <c r="B155" s="59">
        <v>45605.0</v>
      </c>
      <c r="C155" s="71"/>
      <c r="D155" s="71"/>
      <c r="E155" s="72"/>
      <c r="F155" s="46">
        <f t="shared" si="5"/>
        <v>0</v>
      </c>
      <c r="G155" s="73"/>
      <c r="H155" s="7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5" t="s">
        <v>50</v>
      </c>
      <c r="B156" s="59">
        <v>45606.0</v>
      </c>
      <c r="C156" s="71"/>
      <c r="D156" s="71"/>
      <c r="E156" s="72"/>
      <c r="F156" s="46">
        <f t="shared" si="5"/>
        <v>0</v>
      </c>
      <c r="G156" s="73"/>
      <c r="H156" s="7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5" t="s">
        <v>38</v>
      </c>
      <c r="B157" s="59">
        <v>45607.0</v>
      </c>
      <c r="C157" s="85"/>
      <c r="D157" s="85"/>
      <c r="E157" s="79"/>
      <c r="F157" s="46">
        <f t="shared" si="5"/>
        <v>0</v>
      </c>
      <c r="G157" s="74"/>
      <c r="H157" s="7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5" t="s">
        <v>41</v>
      </c>
      <c r="B158" s="59">
        <v>45608.0</v>
      </c>
      <c r="C158" s="85"/>
      <c r="D158" s="85"/>
      <c r="E158" s="79"/>
      <c r="F158" s="46">
        <f t="shared" si="5"/>
        <v>0</v>
      </c>
      <c r="G158" s="74"/>
      <c r="H158" s="7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5" t="s">
        <v>43</v>
      </c>
      <c r="B159" s="59">
        <v>45609.0</v>
      </c>
      <c r="C159" s="85"/>
      <c r="D159" s="85"/>
      <c r="E159" s="79"/>
      <c r="F159" s="46">
        <f t="shared" si="5"/>
        <v>0</v>
      </c>
      <c r="G159" s="74"/>
      <c r="H159" s="7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5" t="s">
        <v>45</v>
      </c>
      <c r="B160" s="59">
        <v>45610.0</v>
      </c>
      <c r="C160" s="85"/>
      <c r="D160" s="85"/>
      <c r="E160" s="79"/>
      <c r="F160" s="46">
        <f t="shared" si="5"/>
        <v>0</v>
      </c>
      <c r="G160" s="74"/>
      <c r="H160" s="7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5" t="s">
        <v>47</v>
      </c>
      <c r="B161" s="59">
        <v>45611.0</v>
      </c>
      <c r="C161" s="85"/>
      <c r="D161" s="85"/>
      <c r="E161" s="79"/>
      <c r="F161" s="46">
        <f t="shared" si="5"/>
        <v>0</v>
      </c>
      <c r="G161" s="84"/>
      <c r="H161" s="8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5" t="s">
        <v>49</v>
      </c>
      <c r="B162" s="59">
        <v>45612.0</v>
      </c>
      <c r="C162" s="71"/>
      <c r="D162" s="71"/>
      <c r="E162" s="72"/>
      <c r="F162" s="46">
        <f t="shared" si="5"/>
        <v>0</v>
      </c>
      <c r="G162" s="73"/>
      <c r="H162" s="7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5" t="s">
        <v>50</v>
      </c>
      <c r="B163" s="59">
        <v>45613.0</v>
      </c>
      <c r="C163" s="71"/>
      <c r="D163" s="71"/>
      <c r="E163" s="72"/>
      <c r="F163" s="46">
        <f t="shared" si="5"/>
        <v>0</v>
      </c>
      <c r="G163" s="73"/>
      <c r="H163" s="7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5" t="s">
        <v>38</v>
      </c>
      <c r="B164" s="59">
        <v>45614.0</v>
      </c>
      <c r="C164" s="85"/>
      <c r="D164" s="85"/>
      <c r="E164" s="79"/>
      <c r="F164" s="46">
        <f t="shared" si="5"/>
        <v>0</v>
      </c>
      <c r="G164" s="74"/>
      <c r="H164" s="7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5" t="s">
        <v>41</v>
      </c>
      <c r="B165" s="59">
        <v>45615.0</v>
      </c>
      <c r="C165" s="85"/>
      <c r="D165" s="85"/>
      <c r="E165" s="79"/>
      <c r="F165" s="46">
        <f t="shared" si="5"/>
        <v>0</v>
      </c>
      <c r="G165" s="74"/>
      <c r="H165" s="7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5" t="s">
        <v>43</v>
      </c>
      <c r="B166" s="59">
        <v>45616.0</v>
      </c>
      <c r="C166" s="85"/>
      <c r="D166" s="85"/>
      <c r="E166" s="79"/>
      <c r="F166" s="46">
        <f t="shared" si="5"/>
        <v>0</v>
      </c>
      <c r="G166" s="74"/>
      <c r="H166" s="7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5" t="s">
        <v>45</v>
      </c>
      <c r="B167" s="59">
        <v>45617.0</v>
      </c>
      <c r="C167" s="85"/>
      <c r="D167" s="85"/>
      <c r="E167" s="79"/>
      <c r="F167" s="46">
        <f t="shared" si="5"/>
        <v>0</v>
      </c>
      <c r="G167" s="74"/>
      <c r="H167" s="7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5" t="s">
        <v>47</v>
      </c>
      <c r="B168" s="59">
        <v>45618.0</v>
      </c>
      <c r="C168" s="85"/>
      <c r="D168" s="85"/>
      <c r="E168" s="79"/>
      <c r="F168" s="46">
        <f t="shared" si="5"/>
        <v>0</v>
      </c>
      <c r="G168" s="84"/>
      <c r="H168" s="8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5" t="s">
        <v>49</v>
      </c>
      <c r="B169" s="59">
        <v>45619.0</v>
      </c>
      <c r="C169" s="71"/>
      <c r="D169" s="71"/>
      <c r="E169" s="72"/>
      <c r="F169" s="46">
        <f t="shared" si="5"/>
        <v>0</v>
      </c>
      <c r="G169" s="73"/>
      <c r="H169" s="7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5" t="s">
        <v>50</v>
      </c>
      <c r="B170" s="59">
        <v>45620.0</v>
      </c>
      <c r="C170" s="71"/>
      <c r="D170" s="71"/>
      <c r="E170" s="72"/>
      <c r="F170" s="46">
        <f t="shared" si="5"/>
        <v>0</v>
      </c>
      <c r="G170" s="73"/>
      <c r="H170" s="7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5" t="s">
        <v>38</v>
      </c>
      <c r="B171" s="59">
        <v>45621.0</v>
      </c>
      <c r="C171" s="85"/>
      <c r="D171" s="85"/>
      <c r="E171" s="79"/>
      <c r="F171" s="46">
        <f t="shared" si="5"/>
        <v>0</v>
      </c>
      <c r="G171" s="74"/>
      <c r="H171" s="7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5" t="s">
        <v>41</v>
      </c>
      <c r="B172" s="59">
        <v>45622.0</v>
      </c>
      <c r="C172" s="85"/>
      <c r="D172" s="85"/>
      <c r="E172" s="79"/>
      <c r="F172" s="46">
        <f t="shared" si="5"/>
        <v>0</v>
      </c>
      <c r="G172" s="74"/>
      <c r="H172" s="7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5" t="s">
        <v>43</v>
      </c>
      <c r="B173" s="59">
        <v>45623.0</v>
      </c>
      <c r="C173" s="85"/>
      <c r="D173" s="85"/>
      <c r="E173" s="79"/>
      <c r="F173" s="46">
        <f t="shared" si="5"/>
        <v>0</v>
      </c>
      <c r="G173" s="74"/>
      <c r="H173" s="7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5" t="s">
        <v>45</v>
      </c>
      <c r="B174" s="59">
        <v>45624.0</v>
      </c>
      <c r="C174" s="85"/>
      <c r="D174" s="85"/>
      <c r="E174" s="79"/>
      <c r="F174" s="46">
        <f t="shared" si="5"/>
        <v>0</v>
      </c>
      <c r="G174" s="74"/>
      <c r="H174" s="7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5" t="s">
        <v>47</v>
      </c>
      <c r="B175" s="59">
        <v>45625.0</v>
      </c>
      <c r="C175" s="85"/>
      <c r="D175" s="85"/>
      <c r="E175" s="79"/>
      <c r="F175" s="46">
        <f t="shared" si="5"/>
        <v>0</v>
      </c>
      <c r="G175" s="84"/>
      <c r="H175" s="8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5" t="s">
        <v>49</v>
      </c>
      <c r="B176" s="59">
        <v>45626.0</v>
      </c>
      <c r="C176" s="71"/>
      <c r="D176" s="71"/>
      <c r="E176" s="72"/>
      <c r="F176" s="46">
        <f t="shared" si="5"/>
        <v>0</v>
      </c>
      <c r="G176" s="73"/>
      <c r="H176" s="7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5" t="s">
        <v>50</v>
      </c>
      <c r="B177" s="59">
        <v>45627.0</v>
      </c>
      <c r="C177" s="71"/>
      <c r="D177" s="71"/>
      <c r="E177" s="72"/>
      <c r="F177" s="46">
        <f t="shared" si="5"/>
        <v>0</v>
      </c>
      <c r="G177" s="73"/>
      <c r="H177" s="7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5" t="s">
        <v>38</v>
      </c>
      <c r="B178" s="59">
        <v>45628.0</v>
      </c>
      <c r="C178" s="85"/>
      <c r="D178" s="85"/>
      <c r="E178" s="79"/>
      <c r="F178" s="46">
        <f t="shared" si="5"/>
        <v>0</v>
      </c>
      <c r="G178" s="63" t="s">
        <v>60</v>
      </c>
      <c r="H178" s="7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5" t="s">
        <v>41</v>
      </c>
      <c r="B179" s="59">
        <v>45629.0</v>
      </c>
      <c r="C179" s="85"/>
      <c r="D179" s="85"/>
      <c r="E179" s="79"/>
      <c r="F179" s="46">
        <f t="shared" si="5"/>
        <v>0</v>
      </c>
      <c r="G179" s="63" t="s">
        <v>60</v>
      </c>
      <c r="H179" s="7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5" t="s">
        <v>43</v>
      </c>
      <c r="B180" s="59">
        <v>45630.0</v>
      </c>
      <c r="C180" s="85"/>
      <c r="D180" s="85"/>
      <c r="E180" s="79"/>
      <c r="F180" s="46">
        <f t="shared" si="5"/>
        <v>0</v>
      </c>
      <c r="G180" s="63" t="s">
        <v>60</v>
      </c>
      <c r="H180" s="7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5" t="s">
        <v>45</v>
      </c>
      <c r="B181" s="59">
        <v>45631.0</v>
      </c>
      <c r="C181" s="85"/>
      <c r="D181" s="85"/>
      <c r="E181" s="79"/>
      <c r="F181" s="46">
        <f t="shared" si="5"/>
        <v>0</v>
      </c>
      <c r="G181" s="63" t="s">
        <v>60</v>
      </c>
      <c r="H181" s="7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5" t="s">
        <v>47</v>
      </c>
      <c r="B182" s="59">
        <v>45632.0</v>
      </c>
      <c r="C182" s="85"/>
      <c r="D182" s="85"/>
      <c r="E182" s="79"/>
      <c r="F182" s="46">
        <f t="shared" si="5"/>
        <v>0</v>
      </c>
      <c r="G182" s="63" t="s">
        <v>60</v>
      </c>
      <c r="H182" s="8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5" t="s">
        <v>49</v>
      </c>
      <c r="B183" s="59">
        <v>45633.0</v>
      </c>
      <c r="C183" s="71"/>
      <c r="D183" s="71"/>
      <c r="E183" s="72"/>
      <c r="F183" s="46">
        <f t="shared" si="5"/>
        <v>0</v>
      </c>
      <c r="G183" s="73"/>
      <c r="H183" s="7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5" t="s">
        <v>50</v>
      </c>
      <c r="B184" s="59">
        <v>45634.0</v>
      </c>
      <c r="C184" s="71"/>
      <c r="D184" s="71"/>
      <c r="E184" s="72"/>
      <c r="F184" s="46">
        <f t="shared" si="5"/>
        <v>0</v>
      </c>
      <c r="G184" s="73"/>
      <c r="H184" s="7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5" t="s">
        <v>38</v>
      </c>
      <c r="B185" s="59">
        <v>45635.0</v>
      </c>
      <c r="C185" s="85"/>
      <c r="D185" s="85"/>
      <c r="E185" s="79"/>
      <c r="F185" s="46">
        <f t="shared" si="5"/>
        <v>0</v>
      </c>
      <c r="G185" s="74"/>
      <c r="H185" s="7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5" t="s">
        <v>41</v>
      </c>
      <c r="B186" s="59">
        <v>45636.0</v>
      </c>
      <c r="C186" s="85"/>
      <c r="D186" s="85"/>
      <c r="E186" s="79"/>
      <c r="F186" s="46">
        <f t="shared" si="5"/>
        <v>0</v>
      </c>
      <c r="G186" s="74"/>
      <c r="H186" s="7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5" t="s">
        <v>43</v>
      </c>
      <c r="B187" s="59">
        <v>45637.0</v>
      </c>
      <c r="C187" s="85"/>
      <c r="D187" s="85"/>
      <c r="E187" s="79"/>
      <c r="F187" s="46">
        <f t="shared" si="5"/>
        <v>0</v>
      </c>
      <c r="G187" s="74"/>
      <c r="H187" s="7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5" t="s">
        <v>45</v>
      </c>
      <c r="B188" s="59">
        <v>45638.0</v>
      </c>
      <c r="C188" s="85"/>
      <c r="D188" s="85"/>
      <c r="E188" s="79"/>
      <c r="F188" s="46">
        <f t="shared" si="5"/>
        <v>0</v>
      </c>
      <c r="G188" s="74"/>
      <c r="H188" s="7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5" t="s">
        <v>47</v>
      </c>
      <c r="B189" s="59">
        <v>45639.0</v>
      </c>
      <c r="C189" s="85"/>
      <c r="D189" s="85"/>
      <c r="E189" s="79"/>
      <c r="F189" s="46">
        <f t="shared" si="5"/>
        <v>0</v>
      </c>
      <c r="G189" s="84"/>
      <c r="H189" s="8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5" t="s">
        <v>49</v>
      </c>
      <c r="B190" s="59">
        <v>45640.0</v>
      </c>
      <c r="C190" s="71"/>
      <c r="D190" s="71"/>
      <c r="E190" s="72"/>
      <c r="F190" s="46">
        <f t="shared" si="5"/>
        <v>0</v>
      </c>
      <c r="G190" s="73"/>
      <c r="H190" s="7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5" t="s">
        <v>50</v>
      </c>
      <c r="B191" s="59">
        <v>45641.0</v>
      </c>
      <c r="C191" s="71"/>
      <c r="D191" s="71"/>
      <c r="E191" s="72"/>
      <c r="F191" s="46">
        <f t="shared" si="5"/>
        <v>0</v>
      </c>
      <c r="G191" s="73"/>
      <c r="H191" s="7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5" t="s">
        <v>38</v>
      </c>
      <c r="B192" s="59">
        <v>45642.0</v>
      </c>
      <c r="C192" s="85"/>
      <c r="D192" s="85"/>
      <c r="E192" s="79"/>
      <c r="F192" s="46">
        <f t="shared" si="5"/>
        <v>0</v>
      </c>
      <c r="G192" s="74"/>
      <c r="H192" s="7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5" t="s">
        <v>41</v>
      </c>
      <c r="B193" s="59">
        <v>45643.0</v>
      </c>
      <c r="C193" s="85"/>
      <c r="D193" s="85"/>
      <c r="E193" s="79"/>
      <c r="F193" s="46">
        <f t="shared" si="5"/>
        <v>0</v>
      </c>
      <c r="G193" s="74"/>
      <c r="H193" s="7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5" t="s">
        <v>43</v>
      </c>
      <c r="B194" s="59">
        <v>45644.0</v>
      </c>
      <c r="C194" s="85"/>
      <c r="D194" s="85"/>
      <c r="E194" s="79"/>
      <c r="F194" s="46">
        <f t="shared" si="5"/>
        <v>0</v>
      </c>
      <c r="G194" s="74"/>
      <c r="H194" s="7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5" t="s">
        <v>45</v>
      </c>
      <c r="B195" s="59">
        <v>45645.0</v>
      </c>
      <c r="C195" s="85"/>
      <c r="D195" s="85"/>
      <c r="E195" s="79"/>
      <c r="F195" s="46">
        <f t="shared" si="5"/>
        <v>0</v>
      </c>
      <c r="G195" s="74"/>
      <c r="H195" s="7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5" t="s">
        <v>47</v>
      </c>
      <c r="B196" s="59">
        <v>45646.0</v>
      </c>
      <c r="C196" s="85"/>
      <c r="D196" s="85"/>
      <c r="E196" s="79"/>
      <c r="F196" s="46">
        <f t="shared" si="5"/>
        <v>0</v>
      </c>
      <c r="G196" s="84"/>
      <c r="H196" s="8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5" t="s">
        <v>49</v>
      </c>
      <c r="B197" s="59">
        <v>45647.0</v>
      </c>
      <c r="C197" s="71"/>
      <c r="D197" s="71"/>
      <c r="E197" s="72"/>
      <c r="F197" s="46">
        <f t="shared" si="5"/>
        <v>0</v>
      </c>
      <c r="G197" s="73"/>
      <c r="H197" s="7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5" t="s">
        <v>50</v>
      </c>
      <c r="B198" s="59">
        <v>45648.0</v>
      </c>
      <c r="C198" s="71"/>
      <c r="D198" s="71"/>
      <c r="E198" s="72"/>
      <c r="F198" s="46">
        <f t="shared" si="5"/>
        <v>0</v>
      </c>
      <c r="G198" s="73"/>
      <c r="H198" s="7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5" t="s">
        <v>38</v>
      </c>
      <c r="B199" s="59">
        <v>45649.0</v>
      </c>
      <c r="C199" s="85"/>
      <c r="D199" s="85"/>
      <c r="E199" s="79"/>
      <c r="F199" s="46">
        <f t="shared" si="5"/>
        <v>0</v>
      </c>
      <c r="G199" s="74"/>
      <c r="H199" s="7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5" t="s">
        <v>41</v>
      </c>
      <c r="B200" s="59">
        <v>45650.0</v>
      </c>
      <c r="C200" s="85"/>
      <c r="D200" s="85"/>
      <c r="E200" s="79"/>
      <c r="F200" s="46">
        <f t="shared" si="5"/>
        <v>0</v>
      </c>
      <c r="G200" s="74"/>
      <c r="H200" s="7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5" t="s">
        <v>43</v>
      </c>
      <c r="B201" s="59">
        <v>45651.0</v>
      </c>
      <c r="C201" s="85"/>
      <c r="D201" s="85"/>
      <c r="E201" s="79"/>
      <c r="F201" s="46">
        <f t="shared" si="5"/>
        <v>0</v>
      </c>
      <c r="G201" s="74"/>
      <c r="H201" s="7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5" t="s">
        <v>45</v>
      </c>
      <c r="B202" s="59">
        <v>45652.0</v>
      </c>
      <c r="C202" s="85"/>
      <c r="D202" s="85"/>
      <c r="E202" s="79"/>
      <c r="F202" s="46">
        <f t="shared" si="5"/>
        <v>0</v>
      </c>
      <c r="G202" s="74"/>
      <c r="H202" s="7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5" t="s">
        <v>47</v>
      </c>
      <c r="B203" s="59">
        <v>45653.0</v>
      </c>
      <c r="C203" s="85"/>
      <c r="D203" s="85"/>
      <c r="E203" s="79"/>
      <c r="F203" s="46">
        <f t="shared" si="5"/>
        <v>0</v>
      </c>
      <c r="G203" s="84"/>
      <c r="H203" s="8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5" t="s">
        <v>49</v>
      </c>
      <c r="B204" s="59">
        <v>45654.0</v>
      </c>
      <c r="C204" s="71"/>
      <c r="D204" s="71"/>
      <c r="E204" s="72"/>
      <c r="F204" s="46">
        <f t="shared" si="5"/>
        <v>0</v>
      </c>
      <c r="G204" s="73"/>
      <c r="H204" s="7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5" t="s">
        <v>50</v>
      </c>
      <c r="B205" s="59">
        <v>45655.0</v>
      </c>
      <c r="C205" s="71"/>
      <c r="D205" s="71"/>
      <c r="E205" s="72"/>
      <c r="F205" s="46">
        <f t="shared" si="5"/>
        <v>0</v>
      </c>
      <c r="G205" s="73"/>
      <c r="H205" s="7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5" t="s">
        <v>38</v>
      </c>
      <c r="B206" s="59">
        <v>45656.0</v>
      </c>
      <c r="C206" s="85"/>
      <c r="D206" s="85"/>
      <c r="E206" s="79"/>
      <c r="F206" s="46">
        <f t="shared" si="5"/>
        <v>0</v>
      </c>
      <c r="G206" s="74"/>
      <c r="H206" s="7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5" t="s">
        <v>41</v>
      </c>
      <c r="B207" s="59">
        <v>45657.0</v>
      </c>
      <c r="C207" s="85"/>
      <c r="D207" s="85"/>
      <c r="E207" s="79"/>
      <c r="F207" s="46">
        <f t="shared" si="5"/>
        <v>0</v>
      </c>
      <c r="G207" s="74"/>
      <c r="H207" s="7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5" t="s">
        <v>43</v>
      </c>
      <c r="B208" s="59">
        <v>45658.0</v>
      </c>
      <c r="C208" s="85"/>
      <c r="D208" s="85"/>
      <c r="E208" s="79"/>
      <c r="F208" s="46">
        <f t="shared" si="5"/>
        <v>0</v>
      </c>
      <c r="G208" s="74"/>
      <c r="H208" s="7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5" t="s">
        <v>45</v>
      </c>
      <c r="B209" s="59">
        <v>45659.0</v>
      </c>
      <c r="C209" s="85"/>
      <c r="D209" s="85"/>
      <c r="E209" s="79"/>
      <c r="F209" s="46">
        <f t="shared" si="5"/>
        <v>0</v>
      </c>
      <c r="G209" s="74"/>
      <c r="H209" s="7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5" t="s">
        <v>47</v>
      </c>
      <c r="B210" s="59">
        <v>45660.0</v>
      </c>
      <c r="C210" s="85"/>
      <c r="D210" s="85"/>
      <c r="E210" s="79"/>
      <c r="F210" s="46">
        <f t="shared" si="5"/>
        <v>0</v>
      </c>
      <c r="G210" s="84"/>
      <c r="H210" s="8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5" t="s">
        <v>49</v>
      </c>
      <c r="B211" s="59">
        <v>45661.0</v>
      </c>
      <c r="C211" s="71"/>
      <c r="D211" s="71"/>
      <c r="E211" s="72"/>
      <c r="F211" s="46">
        <f t="shared" si="5"/>
        <v>0</v>
      </c>
      <c r="G211" s="73"/>
      <c r="H211" s="7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5" t="s">
        <v>50</v>
      </c>
      <c r="B212" s="59">
        <v>45662.0</v>
      </c>
      <c r="C212" s="71"/>
      <c r="D212" s="71"/>
      <c r="E212" s="72"/>
      <c r="F212" s="46">
        <f t="shared" si="5"/>
        <v>0</v>
      </c>
      <c r="G212" s="73"/>
      <c r="H212" s="7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5" t="s">
        <v>38</v>
      </c>
      <c r="B213" s="59">
        <v>45663.0</v>
      </c>
      <c r="C213" s="85"/>
      <c r="D213" s="85"/>
      <c r="E213" s="79"/>
      <c r="F213" s="46">
        <f t="shared" si="5"/>
        <v>0</v>
      </c>
      <c r="G213" s="74"/>
      <c r="H213" s="7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5" t="s">
        <v>41</v>
      </c>
      <c r="B214" s="59">
        <v>45664.0</v>
      </c>
      <c r="C214" s="85"/>
      <c r="D214" s="85"/>
      <c r="E214" s="79"/>
      <c r="F214" s="46">
        <f t="shared" si="5"/>
        <v>0</v>
      </c>
      <c r="G214" s="74"/>
      <c r="H214" s="7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5" t="s">
        <v>43</v>
      </c>
      <c r="B215" s="59">
        <v>45665.0</v>
      </c>
      <c r="C215" s="85"/>
      <c r="D215" s="85"/>
      <c r="E215" s="79"/>
      <c r="F215" s="46">
        <f t="shared" si="5"/>
        <v>0</v>
      </c>
      <c r="G215" s="74"/>
      <c r="H215" s="7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5" t="s">
        <v>45</v>
      </c>
      <c r="B216" s="59">
        <v>45666.0</v>
      </c>
      <c r="C216" s="85"/>
      <c r="D216" s="85"/>
      <c r="E216" s="79"/>
      <c r="F216" s="46">
        <f t="shared" si="5"/>
        <v>0</v>
      </c>
      <c r="G216" s="74"/>
      <c r="H216" s="7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5" t="s">
        <v>47</v>
      </c>
      <c r="B217" s="59">
        <v>45667.0</v>
      </c>
      <c r="C217" s="85"/>
      <c r="D217" s="85"/>
      <c r="E217" s="79"/>
      <c r="F217" s="46">
        <f t="shared" si="5"/>
        <v>0</v>
      </c>
      <c r="G217" s="84"/>
      <c r="H217" s="8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5" t="s">
        <v>49</v>
      </c>
      <c r="B218" s="59">
        <v>45668.0</v>
      </c>
      <c r="C218" s="71"/>
      <c r="D218" s="71"/>
      <c r="E218" s="72"/>
      <c r="F218" s="46">
        <f t="shared" si="5"/>
        <v>0</v>
      </c>
      <c r="G218" s="73"/>
      <c r="H218" s="7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5" t="s">
        <v>50</v>
      </c>
      <c r="B219" s="59">
        <v>45669.0</v>
      </c>
      <c r="C219" s="71"/>
      <c r="D219" s="71"/>
      <c r="E219" s="72"/>
      <c r="F219" s="46">
        <f t="shared" si="5"/>
        <v>0</v>
      </c>
      <c r="G219" s="73"/>
      <c r="H219" s="7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5" t="s">
        <v>38</v>
      </c>
      <c r="B220" s="59">
        <v>45670.0</v>
      </c>
      <c r="C220" s="85"/>
      <c r="D220" s="85"/>
      <c r="E220" s="79"/>
      <c r="F220" s="46">
        <f t="shared" si="5"/>
        <v>0</v>
      </c>
      <c r="G220" s="74"/>
      <c r="H220" s="7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5" t="s">
        <v>41</v>
      </c>
      <c r="B221" s="59">
        <v>45671.0</v>
      </c>
      <c r="C221" s="85"/>
      <c r="D221" s="85"/>
      <c r="E221" s="79"/>
      <c r="F221" s="46">
        <f t="shared" si="5"/>
        <v>0</v>
      </c>
      <c r="G221" s="74"/>
      <c r="H221" s="7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5" t="s">
        <v>43</v>
      </c>
      <c r="B222" s="59">
        <v>45672.0</v>
      </c>
      <c r="C222" s="85"/>
      <c r="D222" s="85"/>
      <c r="E222" s="79"/>
      <c r="F222" s="46">
        <f t="shared" si="5"/>
        <v>0</v>
      </c>
      <c r="G222" s="74"/>
      <c r="H222" s="7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5" t="s">
        <v>45</v>
      </c>
      <c r="B223" s="59">
        <v>45673.0</v>
      </c>
      <c r="C223" s="85"/>
      <c r="D223" s="85"/>
      <c r="E223" s="79"/>
      <c r="F223" s="46">
        <f t="shared" si="5"/>
        <v>0</v>
      </c>
      <c r="G223" s="74"/>
      <c r="H223" s="7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5" t="s">
        <v>47</v>
      </c>
      <c r="B224" s="59">
        <v>45674.0</v>
      </c>
      <c r="C224" s="85"/>
      <c r="D224" s="85"/>
      <c r="E224" s="79"/>
      <c r="F224" s="46">
        <f t="shared" si="5"/>
        <v>0</v>
      </c>
      <c r="G224" s="84"/>
      <c r="H224" s="8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5" t="s">
        <v>49</v>
      </c>
      <c r="B225" s="59">
        <v>45675.0</v>
      </c>
      <c r="C225" s="71"/>
      <c r="D225" s="71"/>
      <c r="E225" s="72"/>
      <c r="F225" s="46">
        <f t="shared" si="5"/>
        <v>0</v>
      </c>
      <c r="G225" s="73"/>
      <c r="H225" s="7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5" t="s">
        <v>50</v>
      </c>
      <c r="B226" s="59">
        <v>45676.0</v>
      </c>
      <c r="C226" s="71"/>
      <c r="D226" s="71"/>
      <c r="E226" s="72"/>
      <c r="F226" s="46">
        <f t="shared" si="5"/>
        <v>0</v>
      </c>
      <c r="G226" s="73"/>
      <c r="H226" s="7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5" t="s">
        <v>38</v>
      </c>
      <c r="B227" s="59">
        <v>45677.0</v>
      </c>
      <c r="C227" s="85"/>
      <c r="D227" s="85"/>
      <c r="E227" s="79"/>
      <c r="F227" s="46">
        <f t="shared" si="5"/>
        <v>0</v>
      </c>
      <c r="G227" s="74"/>
      <c r="H227" s="7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5" t="s">
        <v>41</v>
      </c>
      <c r="B228" s="59">
        <v>45678.0</v>
      </c>
      <c r="C228" s="85"/>
      <c r="D228" s="85"/>
      <c r="E228" s="79"/>
      <c r="F228" s="46">
        <f t="shared" si="5"/>
        <v>0</v>
      </c>
      <c r="G228" s="74"/>
      <c r="H228" s="7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5" t="s">
        <v>43</v>
      </c>
      <c r="B229" s="59">
        <v>45679.0</v>
      </c>
      <c r="C229" s="85"/>
      <c r="D229" s="85"/>
      <c r="E229" s="79"/>
      <c r="F229" s="46">
        <f t="shared" si="5"/>
        <v>0</v>
      </c>
      <c r="G229" s="74"/>
      <c r="H229" s="7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5" t="s">
        <v>45</v>
      </c>
      <c r="B230" s="59">
        <v>45680.0</v>
      </c>
      <c r="C230" s="85"/>
      <c r="D230" s="85"/>
      <c r="E230" s="79"/>
      <c r="F230" s="46">
        <f t="shared" si="5"/>
        <v>0</v>
      </c>
      <c r="G230" s="74"/>
      <c r="H230" s="7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5" t="s">
        <v>47</v>
      </c>
      <c r="B231" s="59">
        <v>45681.0</v>
      </c>
      <c r="C231" s="85"/>
      <c r="D231" s="85"/>
      <c r="E231" s="79"/>
      <c r="F231" s="46">
        <f t="shared" si="5"/>
        <v>0</v>
      </c>
      <c r="G231" s="84"/>
      <c r="H231" s="8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5" t="s">
        <v>49</v>
      </c>
      <c r="B232" s="59">
        <v>45682.0</v>
      </c>
      <c r="C232" s="71"/>
      <c r="D232" s="71"/>
      <c r="E232" s="72"/>
      <c r="F232" s="46">
        <f t="shared" si="5"/>
        <v>0</v>
      </c>
      <c r="G232" s="73"/>
      <c r="H232" s="7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5" t="s">
        <v>50</v>
      </c>
      <c r="B233" s="59">
        <v>45683.0</v>
      </c>
      <c r="C233" s="71"/>
      <c r="D233" s="71"/>
      <c r="E233" s="72"/>
      <c r="F233" s="46">
        <f t="shared" si="5"/>
        <v>0</v>
      </c>
      <c r="G233" s="73"/>
      <c r="H233" s="7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5" t="s">
        <v>38</v>
      </c>
      <c r="B234" s="59">
        <v>45684.0</v>
      </c>
      <c r="C234" s="85"/>
      <c r="D234" s="85"/>
      <c r="E234" s="79"/>
      <c r="F234" s="46">
        <f t="shared" si="5"/>
        <v>0</v>
      </c>
      <c r="G234" s="74"/>
      <c r="H234" s="7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5" t="s">
        <v>41</v>
      </c>
      <c r="B235" s="59">
        <v>45685.0</v>
      </c>
      <c r="C235" s="85"/>
      <c r="D235" s="85"/>
      <c r="E235" s="79"/>
      <c r="F235" s="46">
        <f t="shared" si="5"/>
        <v>0</v>
      </c>
      <c r="G235" s="74"/>
      <c r="H235" s="7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5" t="s">
        <v>43</v>
      </c>
      <c r="B236" s="59">
        <v>45686.0</v>
      </c>
      <c r="C236" s="85"/>
      <c r="D236" s="85"/>
      <c r="E236" s="79"/>
      <c r="F236" s="46">
        <f t="shared" si="5"/>
        <v>0</v>
      </c>
      <c r="G236" s="74"/>
      <c r="H236" s="7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5" t="s">
        <v>45</v>
      </c>
      <c r="B237" s="59">
        <v>45687.0</v>
      </c>
      <c r="C237" s="85"/>
      <c r="D237" s="85"/>
      <c r="E237" s="79"/>
      <c r="F237" s="46">
        <f t="shared" si="5"/>
        <v>0</v>
      </c>
      <c r="G237" s="74"/>
      <c r="H237" s="7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5" t="s">
        <v>47</v>
      </c>
      <c r="B238" s="59">
        <v>45688.0</v>
      </c>
      <c r="C238" s="85"/>
      <c r="D238" s="85"/>
      <c r="E238" s="79"/>
      <c r="F238" s="46">
        <f t="shared" si="5"/>
        <v>0</v>
      </c>
      <c r="G238" s="84"/>
      <c r="H238" s="8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5" t="s">
        <v>49</v>
      </c>
      <c r="B239" s="59">
        <v>45689.0</v>
      </c>
      <c r="C239" s="71"/>
      <c r="D239" s="71"/>
      <c r="E239" s="72"/>
      <c r="F239" s="46">
        <f t="shared" si="5"/>
        <v>0</v>
      </c>
      <c r="G239" s="73"/>
      <c r="H239" s="7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5" t="s">
        <v>50</v>
      </c>
      <c r="B240" s="59">
        <v>45690.0</v>
      </c>
      <c r="C240" s="71"/>
      <c r="D240" s="71"/>
      <c r="E240" s="72"/>
      <c r="F240" s="46">
        <f t="shared" si="5"/>
        <v>0</v>
      </c>
      <c r="G240" s="73"/>
      <c r="H240" s="7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5" t="s">
        <v>38</v>
      </c>
      <c r="B241" s="59">
        <v>45691.0</v>
      </c>
      <c r="C241" s="85"/>
      <c r="D241" s="85"/>
      <c r="E241" s="79"/>
      <c r="F241" s="46">
        <f t="shared" si="5"/>
        <v>0</v>
      </c>
      <c r="G241" s="74"/>
      <c r="H241" s="7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5" t="s">
        <v>41</v>
      </c>
      <c r="B242" s="59">
        <v>45692.0</v>
      </c>
      <c r="C242" s="85"/>
      <c r="D242" s="85"/>
      <c r="E242" s="79"/>
      <c r="F242" s="46">
        <f t="shared" si="5"/>
        <v>0</v>
      </c>
      <c r="G242" s="74"/>
      <c r="H242" s="7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5" t="s">
        <v>43</v>
      </c>
      <c r="B243" s="59">
        <v>45693.0</v>
      </c>
      <c r="C243" s="85"/>
      <c r="D243" s="85"/>
      <c r="E243" s="79"/>
      <c r="F243" s="46">
        <f t="shared" si="5"/>
        <v>0</v>
      </c>
      <c r="G243" s="74"/>
      <c r="H243" s="7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5" t="s">
        <v>45</v>
      </c>
      <c r="B244" s="59">
        <v>45694.0</v>
      </c>
      <c r="C244" s="85"/>
      <c r="D244" s="85"/>
      <c r="E244" s="79"/>
      <c r="F244" s="46">
        <f t="shared" si="5"/>
        <v>0</v>
      </c>
      <c r="G244" s="74"/>
      <c r="H244" s="7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5" t="s">
        <v>47</v>
      </c>
      <c r="B245" s="59">
        <v>45695.0</v>
      </c>
      <c r="C245" s="85"/>
      <c r="D245" s="85"/>
      <c r="E245" s="79"/>
      <c r="F245" s="46">
        <f t="shared" si="5"/>
        <v>0</v>
      </c>
      <c r="G245" s="84"/>
      <c r="H245" s="8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5" t="s">
        <v>49</v>
      </c>
      <c r="B246" s="59">
        <v>45696.0</v>
      </c>
      <c r="C246" s="71"/>
      <c r="D246" s="71"/>
      <c r="E246" s="72"/>
      <c r="F246" s="46">
        <f t="shared" si="5"/>
        <v>0</v>
      </c>
      <c r="G246" s="73"/>
      <c r="H246" s="7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5" t="s">
        <v>50</v>
      </c>
      <c r="B247" s="59">
        <v>45697.0</v>
      </c>
      <c r="C247" s="71"/>
      <c r="D247" s="71"/>
      <c r="E247" s="72"/>
      <c r="F247" s="46">
        <f t="shared" si="5"/>
        <v>0</v>
      </c>
      <c r="G247" s="73"/>
      <c r="H247" s="7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5" t="s">
        <v>38</v>
      </c>
      <c r="B248" s="59">
        <v>45698.0</v>
      </c>
      <c r="C248" s="85"/>
      <c r="D248" s="85"/>
      <c r="E248" s="79"/>
      <c r="F248" s="46">
        <f t="shared" si="5"/>
        <v>0</v>
      </c>
      <c r="G248" s="74"/>
      <c r="H248" s="7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5" t="s">
        <v>41</v>
      </c>
      <c r="B249" s="59">
        <v>45699.0</v>
      </c>
      <c r="C249" s="85"/>
      <c r="D249" s="85"/>
      <c r="E249" s="79"/>
      <c r="F249" s="46">
        <f t="shared" si="5"/>
        <v>0</v>
      </c>
      <c r="G249" s="74"/>
      <c r="H249" s="7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5" t="s">
        <v>43</v>
      </c>
      <c r="B250" s="59">
        <v>45700.0</v>
      </c>
      <c r="C250" s="85"/>
      <c r="D250" s="85"/>
      <c r="E250" s="79"/>
      <c r="F250" s="46">
        <f t="shared" si="5"/>
        <v>0</v>
      </c>
      <c r="G250" s="74"/>
      <c r="H250" s="7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5" t="s">
        <v>45</v>
      </c>
      <c r="B251" s="59">
        <v>45701.0</v>
      </c>
      <c r="C251" s="85"/>
      <c r="D251" s="85"/>
      <c r="E251" s="79"/>
      <c r="F251" s="46">
        <f t="shared" si="5"/>
        <v>0</v>
      </c>
      <c r="G251" s="74"/>
      <c r="H251" s="7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5" t="s">
        <v>47</v>
      </c>
      <c r="B252" s="59">
        <v>45702.0</v>
      </c>
      <c r="C252" s="85"/>
      <c r="D252" s="85"/>
      <c r="E252" s="79"/>
      <c r="F252" s="46">
        <f t="shared" si="5"/>
        <v>0</v>
      </c>
      <c r="G252" s="84"/>
      <c r="H252" s="8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5" t="s">
        <v>49</v>
      </c>
      <c r="B253" s="59">
        <v>45703.0</v>
      </c>
      <c r="C253" s="71"/>
      <c r="D253" s="71"/>
      <c r="E253" s="72"/>
      <c r="F253" s="46">
        <f t="shared" si="5"/>
        <v>0</v>
      </c>
      <c r="G253" s="73"/>
      <c r="H253" s="7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5" t="s">
        <v>50</v>
      </c>
      <c r="B254" s="59">
        <v>45704.0</v>
      </c>
      <c r="C254" s="71"/>
      <c r="D254" s="71"/>
      <c r="E254" s="72"/>
      <c r="F254" s="46">
        <f t="shared" si="5"/>
        <v>0</v>
      </c>
      <c r="G254" s="73"/>
      <c r="H254" s="7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5" t="s">
        <v>38</v>
      </c>
      <c r="B255" s="59">
        <v>45705.0</v>
      </c>
      <c r="C255" s="85"/>
      <c r="D255" s="85"/>
      <c r="E255" s="79"/>
      <c r="F255" s="46">
        <f t="shared" si="5"/>
        <v>0</v>
      </c>
      <c r="G255" s="74"/>
      <c r="H255" s="7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5" t="s">
        <v>41</v>
      </c>
      <c r="B256" s="59">
        <v>45706.0</v>
      </c>
      <c r="C256" s="85"/>
      <c r="D256" s="85"/>
      <c r="E256" s="79"/>
      <c r="F256" s="46">
        <f t="shared" si="5"/>
        <v>0</v>
      </c>
      <c r="G256" s="74"/>
      <c r="H256" s="7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5" t="s">
        <v>43</v>
      </c>
      <c r="B257" s="59">
        <v>45707.0</v>
      </c>
      <c r="C257" s="85"/>
      <c r="D257" s="85"/>
      <c r="E257" s="79"/>
      <c r="F257" s="46">
        <f t="shared" si="5"/>
        <v>0</v>
      </c>
      <c r="G257" s="74"/>
      <c r="H257" s="7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5" t="s">
        <v>45</v>
      </c>
      <c r="B258" s="59">
        <v>45708.0</v>
      </c>
      <c r="C258" s="85"/>
      <c r="D258" s="85"/>
      <c r="E258" s="79"/>
      <c r="F258" s="46">
        <f t="shared" si="5"/>
        <v>0</v>
      </c>
      <c r="G258" s="74"/>
      <c r="H258" s="7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5" t="s">
        <v>47</v>
      </c>
      <c r="B259" s="59">
        <v>45709.0</v>
      </c>
      <c r="C259" s="85"/>
      <c r="D259" s="85"/>
      <c r="E259" s="79"/>
      <c r="F259" s="46">
        <f t="shared" si="5"/>
        <v>0</v>
      </c>
      <c r="G259" s="84"/>
      <c r="H259" s="8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5" t="s">
        <v>49</v>
      </c>
      <c r="B260" s="59">
        <v>45710.0</v>
      </c>
      <c r="C260" s="71"/>
      <c r="D260" s="71"/>
      <c r="E260" s="72"/>
      <c r="F260" s="46">
        <f t="shared" si="5"/>
        <v>0</v>
      </c>
      <c r="G260" s="73"/>
      <c r="H260" s="7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5" t="s">
        <v>50</v>
      </c>
      <c r="B261" s="59">
        <v>45711.0</v>
      </c>
      <c r="C261" s="71"/>
      <c r="D261" s="71"/>
      <c r="E261" s="72"/>
      <c r="F261" s="46">
        <f t="shared" si="5"/>
        <v>0</v>
      </c>
      <c r="G261" s="73"/>
      <c r="H261" s="7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5" t="s">
        <v>38</v>
      </c>
      <c r="B262" s="59">
        <v>45712.0</v>
      </c>
      <c r="C262" s="85"/>
      <c r="D262" s="85"/>
      <c r="E262" s="79"/>
      <c r="F262" s="46">
        <f t="shared" si="5"/>
        <v>0</v>
      </c>
      <c r="G262" s="74"/>
      <c r="H262" s="7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5" t="s">
        <v>41</v>
      </c>
      <c r="B263" s="59">
        <v>45713.0</v>
      </c>
      <c r="C263" s="85"/>
      <c r="D263" s="85"/>
      <c r="E263" s="79"/>
      <c r="F263" s="46">
        <f t="shared" si="5"/>
        <v>0</v>
      </c>
      <c r="G263" s="74"/>
      <c r="H263" s="7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5" t="s">
        <v>43</v>
      </c>
      <c r="B264" s="59">
        <v>45714.0</v>
      </c>
      <c r="C264" s="85"/>
      <c r="D264" s="85"/>
      <c r="E264" s="79"/>
      <c r="F264" s="46">
        <f t="shared" si="5"/>
        <v>0</v>
      </c>
      <c r="G264" s="74"/>
      <c r="H264" s="7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5" t="s">
        <v>45</v>
      </c>
      <c r="B265" s="59">
        <v>45715.0</v>
      </c>
      <c r="C265" s="85"/>
      <c r="D265" s="85"/>
      <c r="E265" s="79"/>
      <c r="F265" s="46">
        <f t="shared" si="5"/>
        <v>0</v>
      </c>
      <c r="G265" s="74"/>
      <c r="H265" s="7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5" t="s">
        <v>47</v>
      </c>
      <c r="B266" s="59">
        <v>45716.0</v>
      </c>
      <c r="C266" s="85"/>
      <c r="D266" s="85"/>
      <c r="E266" s="79"/>
      <c r="F266" s="46">
        <f t="shared" si="5"/>
        <v>0</v>
      </c>
      <c r="G266" s="84"/>
      <c r="H266" s="8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5" t="s">
        <v>49</v>
      </c>
      <c r="B267" s="59">
        <v>45717.0</v>
      </c>
      <c r="C267" s="71"/>
      <c r="D267" s="71"/>
      <c r="E267" s="72"/>
      <c r="F267" s="46">
        <f t="shared" si="5"/>
        <v>0</v>
      </c>
      <c r="G267" s="73"/>
      <c r="H267" s="7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5" t="s">
        <v>50</v>
      </c>
      <c r="B268" s="59">
        <v>45718.0</v>
      </c>
      <c r="C268" s="71"/>
      <c r="D268" s="71"/>
      <c r="E268" s="72"/>
      <c r="F268" s="46">
        <f t="shared" si="5"/>
        <v>0</v>
      </c>
      <c r="G268" s="73"/>
      <c r="H268" s="7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5" t="s">
        <v>38</v>
      </c>
      <c r="B269" s="59">
        <v>45719.0</v>
      </c>
      <c r="C269" s="85"/>
      <c r="D269" s="85"/>
      <c r="E269" s="79"/>
      <c r="F269" s="46">
        <f t="shared" si="5"/>
        <v>0</v>
      </c>
      <c r="G269" s="74"/>
      <c r="H269" s="7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5" t="s">
        <v>41</v>
      </c>
      <c r="B270" s="59">
        <v>45720.0</v>
      </c>
      <c r="C270" s="85"/>
      <c r="D270" s="85"/>
      <c r="E270" s="79"/>
      <c r="F270" s="46">
        <f t="shared" si="5"/>
        <v>0</v>
      </c>
      <c r="G270" s="74"/>
      <c r="H270" s="7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5" t="s">
        <v>43</v>
      </c>
      <c r="B271" s="59">
        <v>45721.0</v>
      </c>
      <c r="C271" s="85"/>
      <c r="D271" s="85"/>
      <c r="E271" s="79"/>
      <c r="F271" s="46">
        <f t="shared" si="5"/>
        <v>0</v>
      </c>
      <c r="G271" s="74"/>
      <c r="H271" s="7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5" t="s">
        <v>45</v>
      </c>
      <c r="B272" s="59">
        <v>45722.0</v>
      </c>
      <c r="C272" s="85"/>
      <c r="D272" s="85"/>
      <c r="E272" s="79"/>
      <c r="F272" s="46">
        <f t="shared" si="5"/>
        <v>0</v>
      </c>
      <c r="G272" s="74"/>
      <c r="H272" s="7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5" t="s">
        <v>47</v>
      </c>
      <c r="B273" s="59">
        <v>45723.0</v>
      </c>
      <c r="C273" s="85"/>
      <c r="D273" s="85"/>
      <c r="E273" s="79"/>
      <c r="F273" s="46">
        <f t="shared" si="5"/>
        <v>0</v>
      </c>
      <c r="G273" s="84"/>
      <c r="H273" s="8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5" t="s">
        <v>49</v>
      </c>
      <c r="B274" s="59">
        <v>45724.0</v>
      </c>
      <c r="C274" s="71"/>
      <c r="D274" s="71"/>
      <c r="E274" s="72"/>
      <c r="F274" s="46">
        <f t="shared" si="5"/>
        <v>0</v>
      </c>
      <c r="G274" s="73"/>
      <c r="H274" s="73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5" t="s">
        <v>50</v>
      </c>
      <c r="B275" s="59">
        <v>45725.0</v>
      </c>
      <c r="C275" s="71"/>
      <c r="D275" s="71"/>
      <c r="E275" s="72"/>
      <c r="F275" s="46">
        <f t="shared" si="5"/>
        <v>0</v>
      </c>
      <c r="G275" s="73"/>
      <c r="H275" s="73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5" t="s">
        <v>38</v>
      </c>
      <c r="B276" s="59">
        <v>45726.0</v>
      </c>
      <c r="C276" s="85"/>
      <c r="D276" s="85"/>
      <c r="E276" s="79"/>
      <c r="F276" s="46">
        <f t="shared" si="5"/>
        <v>0</v>
      </c>
      <c r="G276" s="74"/>
      <c r="H276" s="7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5" t="s">
        <v>41</v>
      </c>
      <c r="B277" s="59">
        <v>45727.0</v>
      </c>
      <c r="C277" s="85"/>
      <c r="D277" s="85"/>
      <c r="E277" s="79"/>
      <c r="F277" s="46">
        <f t="shared" si="5"/>
        <v>0</v>
      </c>
      <c r="G277" s="74"/>
      <c r="H277" s="7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5" t="s">
        <v>43</v>
      </c>
      <c r="B278" s="59">
        <v>45728.0</v>
      </c>
      <c r="C278" s="85"/>
      <c r="D278" s="85"/>
      <c r="E278" s="79"/>
      <c r="F278" s="46">
        <f t="shared" si="5"/>
        <v>0</v>
      </c>
      <c r="G278" s="74"/>
      <c r="H278" s="7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5" t="s">
        <v>45</v>
      </c>
      <c r="B279" s="59">
        <v>45729.0</v>
      </c>
      <c r="C279" s="85"/>
      <c r="D279" s="85"/>
      <c r="E279" s="79"/>
      <c r="F279" s="46">
        <f t="shared" si="5"/>
        <v>0</v>
      </c>
      <c r="G279" s="74"/>
      <c r="H279" s="7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5" t="s">
        <v>47</v>
      </c>
      <c r="B280" s="59">
        <v>45730.0</v>
      </c>
      <c r="C280" s="85"/>
      <c r="D280" s="85"/>
      <c r="E280" s="79"/>
      <c r="F280" s="46">
        <f t="shared" si="5"/>
        <v>0</v>
      </c>
      <c r="G280" s="84"/>
      <c r="H280" s="8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5" t="s">
        <v>49</v>
      </c>
      <c r="B281" s="59">
        <v>45731.0</v>
      </c>
      <c r="C281" s="71"/>
      <c r="D281" s="71"/>
      <c r="E281" s="72"/>
      <c r="F281" s="46">
        <f t="shared" si="5"/>
        <v>0</v>
      </c>
      <c r="G281" s="73"/>
      <c r="H281" s="73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5" t="s">
        <v>50</v>
      </c>
      <c r="B282" s="59">
        <v>45732.0</v>
      </c>
      <c r="C282" s="71"/>
      <c r="D282" s="71"/>
      <c r="E282" s="72"/>
      <c r="F282" s="46">
        <f t="shared" si="5"/>
        <v>0</v>
      </c>
      <c r="G282" s="73"/>
      <c r="H282" s="73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5" t="s">
        <v>38</v>
      </c>
      <c r="B283" s="59">
        <v>45733.0</v>
      </c>
      <c r="C283" s="85"/>
      <c r="D283" s="85"/>
      <c r="E283" s="79"/>
      <c r="F283" s="46">
        <f t="shared" si="5"/>
        <v>0</v>
      </c>
      <c r="G283" s="74"/>
      <c r="H283" s="7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5" t="s">
        <v>41</v>
      </c>
      <c r="B284" s="59">
        <v>45734.0</v>
      </c>
      <c r="C284" s="85"/>
      <c r="D284" s="85"/>
      <c r="E284" s="79"/>
      <c r="F284" s="46">
        <f t="shared" si="5"/>
        <v>0</v>
      </c>
      <c r="G284" s="74"/>
      <c r="H284" s="7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5" t="s">
        <v>43</v>
      </c>
      <c r="B285" s="59">
        <v>45735.0</v>
      </c>
      <c r="C285" s="85"/>
      <c r="D285" s="85"/>
      <c r="E285" s="79"/>
      <c r="F285" s="46">
        <f t="shared" si="5"/>
        <v>0</v>
      </c>
      <c r="G285" s="74"/>
      <c r="H285" s="7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5" t="s">
        <v>45</v>
      </c>
      <c r="B286" s="59">
        <v>45736.0</v>
      </c>
      <c r="C286" s="85"/>
      <c r="D286" s="85"/>
      <c r="E286" s="79"/>
      <c r="F286" s="46">
        <f t="shared" si="5"/>
        <v>0</v>
      </c>
      <c r="G286" s="74"/>
      <c r="H286" s="7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5" t="s">
        <v>47</v>
      </c>
      <c r="B287" s="59">
        <v>45737.0</v>
      </c>
      <c r="C287" s="85"/>
      <c r="D287" s="85"/>
      <c r="E287" s="79"/>
      <c r="F287" s="46">
        <f t="shared" si="5"/>
        <v>0</v>
      </c>
      <c r="G287" s="84"/>
      <c r="H287" s="8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5" t="s">
        <v>49</v>
      </c>
      <c r="B288" s="59">
        <v>45738.0</v>
      </c>
      <c r="C288" s="71"/>
      <c r="D288" s="71"/>
      <c r="E288" s="72"/>
      <c r="F288" s="46">
        <f t="shared" si="5"/>
        <v>0</v>
      </c>
      <c r="G288" s="73"/>
      <c r="H288" s="73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5" t="s">
        <v>50</v>
      </c>
      <c r="B289" s="59">
        <v>45739.0</v>
      </c>
      <c r="C289" s="71"/>
      <c r="D289" s="71"/>
      <c r="E289" s="72"/>
      <c r="F289" s="46">
        <f t="shared" si="5"/>
        <v>0</v>
      </c>
      <c r="G289" s="73"/>
      <c r="H289" s="73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5" t="s">
        <v>38</v>
      </c>
      <c r="B290" s="59">
        <v>45740.0</v>
      </c>
      <c r="C290" s="85"/>
      <c r="D290" s="85"/>
      <c r="E290" s="79"/>
      <c r="F290" s="46">
        <f t="shared" si="5"/>
        <v>0</v>
      </c>
      <c r="G290" s="74"/>
      <c r="H290" s="7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5" t="s">
        <v>41</v>
      </c>
      <c r="B291" s="59">
        <v>45741.0</v>
      </c>
      <c r="C291" s="85"/>
      <c r="D291" s="85"/>
      <c r="E291" s="79"/>
      <c r="F291" s="46">
        <f t="shared" si="5"/>
        <v>0</v>
      </c>
      <c r="G291" s="74"/>
      <c r="H291" s="7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5" t="s">
        <v>43</v>
      </c>
      <c r="B292" s="59">
        <v>45742.0</v>
      </c>
      <c r="C292" s="85"/>
      <c r="D292" s="85"/>
      <c r="E292" s="79"/>
      <c r="F292" s="46">
        <f t="shared" si="5"/>
        <v>0</v>
      </c>
      <c r="G292" s="74"/>
      <c r="H292" s="7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5" t="s">
        <v>45</v>
      </c>
      <c r="B293" s="59">
        <v>45743.0</v>
      </c>
      <c r="C293" s="85"/>
      <c r="D293" s="85"/>
      <c r="E293" s="79"/>
      <c r="F293" s="46">
        <f t="shared" si="5"/>
        <v>0</v>
      </c>
      <c r="G293" s="74"/>
      <c r="H293" s="7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5" t="s">
        <v>47</v>
      </c>
      <c r="B294" s="59">
        <v>45744.0</v>
      </c>
      <c r="C294" s="85"/>
      <c r="D294" s="85"/>
      <c r="E294" s="79"/>
      <c r="F294" s="46">
        <f t="shared" si="5"/>
        <v>0</v>
      </c>
      <c r="G294" s="84"/>
      <c r="H294" s="8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5" t="s">
        <v>49</v>
      </c>
      <c r="B295" s="59">
        <v>45745.0</v>
      </c>
      <c r="C295" s="71"/>
      <c r="D295" s="71"/>
      <c r="E295" s="72"/>
      <c r="F295" s="46">
        <f t="shared" si="5"/>
        <v>0</v>
      </c>
      <c r="G295" s="73"/>
      <c r="H295" s="73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5" t="s">
        <v>50</v>
      </c>
      <c r="B296" s="59">
        <v>45746.0</v>
      </c>
      <c r="C296" s="71"/>
      <c r="D296" s="71"/>
      <c r="E296" s="72"/>
      <c r="F296" s="46">
        <f t="shared" si="5"/>
        <v>0</v>
      </c>
      <c r="G296" s="73"/>
      <c r="H296" s="73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5" t="s">
        <v>38</v>
      </c>
      <c r="B297" s="59">
        <v>45747.0</v>
      </c>
      <c r="C297" s="85"/>
      <c r="D297" s="85"/>
      <c r="E297" s="79"/>
      <c r="F297" s="46">
        <f t="shared" si="5"/>
        <v>0</v>
      </c>
      <c r="G297" s="74"/>
      <c r="H297" s="7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5" t="s">
        <v>41</v>
      </c>
      <c r="B298" s="59">
        <v>45748.0</v>
      </c>
      <c r="C298" s="85"/>
      <c r="D298" s="85"/>
      <c r="E298" s="79"/>
      <c r="F298" s="46">
        <f t="shared" si="5"/>
        <v>0</v>
      </c>
      <c r="G298" s="74"/>
      <c r="H298" s="7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5" t="s">
        <v>43</v>
      </c>
      <c r="B299" s="59">
        <v>45749.0</v>
      </c>
      <c r="C299" s="85"/>
      <c r="D299" s="85"/>
      <c r="E299" s="79"/>
      <c r="F299" s="46">
        <f t="shared" si="5"/>
        <v>0</v>
      </c>
      <c r="G299" s="74"/>
      <c r="H299" s="7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5" t="s">
        <v>45</v>
      </c>
      <c r="B300" s="59">
        <v>45750.0</v>
      </c>
      <c r="C300" s="85"/>
      <c r="D300" s="85"/>
      <c r="E300" s="79"/>
      <c r="F300" s="46">
        <f t="shared" si="5"/>
        <v>0</v>
      </c>
      <c r="G300" s="74"/>
      <c r="H300" s="7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5" t="s">
        <v>47</v>
      </c>
      <c r="B301" s="59">
        <v>45751.0</v>
      </c>
      <c r="C301" s="85"/>
      <c r="D301" s="85"/>
      <c r="E301" s="79"/>
      <c r="F301" s="46">
        <f t="shared" si="5"/>
        <v>0</v>
      </c>
      <c r="G301" s="84"/>
      <c r="H301" s="8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5" t="s">
        <v>49</v>
      </c>
      <c r="B302" s="59">
        <v>45752.0</v>
      </c>
      <c r="C302" s="71"/>
      <c r="D302" s="71"/>
      <c r="E302" s="72"/>
      <c r="F302" s="46">
        <f t="shared" si="5"/>
        <v>0</v>
      </c>
      <c r="G302" s="73"/>
      <c r="H302" s="73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5" t="s">
        <v>50</v>
      </c>
      <c r="B303" s="59">
        <v>45753.0</v>
      </c>
      <c r="C303" s="71"/>
      <c r="D303" s="71"/>
      <c r="E303" s="72"/>
      <c r="F303" s="46">
        <f t="shared" si="5"/>
        <v>0</v>
      </c>
      <c r="G303" s="73"/>
      <c r="H303" s="73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5" t="s">
        <v>38</v>
      </c>
      <c r="B304" s="59">
        <v>45754.0</v>
      </c>
      <c r="C304" s="85"/>
      <c r="D304" s="85"/>
      <c r="E304" s="79"/>
      <c r="F304" s="46">
        <f t="shared" si="5"/>
        <v>0</v>
      </c>
      <c r="G304" s="74"/>
      <c r="H304" s="7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5" t="s">
        <v>41</v>
      </c>
      <c r="B305" s="59">
        <v>45755.0</v>
      </c>
      <c r="C305" s="85"/>
      <c r="D305" s="85"/>
      <c r="E305" s="79"/>
      <c r="F305" s="46">
        <f t="shared" si="5"/>
        <v>0</v>
      </c>
      <c r="G305" s="74"/>
      <c r="H305" s="7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5" t="s">
        <v>43</v>
      </c>
      <c r="B306" s="59">
        <v>45756.0</v>
      </c>
      <c r="C306" s="85"/>
      <c r="D306" s="85"/>
      <c r="E306" s="79"/>
      <c r="F306" s="46">
        <f t="shared" si="5"/>
        <v>0</v>
      </c>
      <c r="G306" s="74"/>
      <c r="H306" s="7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5" t="s">
        <v>45</v>
      </c>
      <c r="B307" s="59">
        <v>45757.0</v>
      </c>
      <c r="C307" s="85"/>
      <c r="D307" s="85"/>
      <c r="E307" s="79"/>
      <c r="F307" s="46">
        <f t="shared" si="5"/>
        <v>0</v>
      </c>
      <c r="G307" s="74"/>
      <c r="H307" s="7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5" t="s">
        <v>47</v>
      </c>
      <c r="B308" s="59">
        <v>45758.0</v>
      </c>
      <c r="C308" s="85"/>
      <c r="D308" s="85"/>
      <c r="E308" s="79"/>
      <c r="F308" s="46">
        <f t="shared" si="5"/>
        <v>0</v>
      </c>
      <c r="G308" s="84"/>
      <c r="H308" s="8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5" t="s">
        <v>49</v>
      </c>
      <c r="B309" s="59">
        <v>45759.0</v>
      </c>
      <c r="C309" s="71"/>
      <c r="D309" s="71"/>
      <c r="E309" s="72"/>
      <c r="F309" s="46">
        <f t="shared" si="5"/>
        <v>0</v>
      </c>
      <c r="G309" s="73"/>
      <c r="H309" s="73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5" t="s">
        <v>50</v>
      </c>
      <c r="B310" s="59">
        <v>45760.0</v>
      </c>
      <c r="C310" s="71"/>
      <c r="D310" s="71"/>
      <c r="E310" s="72"/>
      <c r="F310" s="46">
        <f t="shared" si="5"/>
        <v>0</v>
      </c>
      <c r="G310" s="73"/>
      <c r="H310" s="73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5" t="s">
        <v>38</v>
      </c>
      <c r="B311" s="59">
        <v>45761.0</v>
      </c>
      <c r="C311" s="85"/>
      <c r="D311" s="85"/>
      <c r="E311" s="79"/>
      <c r="F311" s="46">
        <f t="shared" si="5"/>
        <v>0</v>
      </c>
      <c r="G311" s="74"/>
      <c r="H311" s="7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5" t="s">
        <v>41</v>
      </c>
      <c r="B312" s="59">
        <v>45762.0</v>
      </c>
      <c r="C312" s="85"/>
      <c r="D312" s="85"/>
      <c r="E312" s="79"/>
      <c r="F312" s="46">
        <f t="shared" si="5"/>
        <v>0</v>
      </c>
      <c r="G312" s="74"/>
      <c r="H312" s="7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5" t="s">
        <v>43</v>
      </c>
      <c r="B313" s="59">
        <v>45763.0</v>
      </c>
      <c r="C313" s="85"/>
      <c r="D313" s="85"/>
      <c r="E313" s="79"/>
      <c r="F313" s="46">
        <f t="shared" si="5"/>
        <v>0</v>
      </c>
      <c r="G313" s="74"/>
      <c r="H313" s="7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5" t="s">
        <v>45</v>
      </c>
      <c r="B314" s="59">
        <v>45764.0</v>
      </c>
      <c r="C314" s="85"/>
      <c r="D314" s="85"/>
      <c r="E314" s="79"/>
      <c r="F314" s="46">
        <f t="shared" si="5"/>
        <v>0</v>
      </c>
      <c r="G314" s="74"/>
      <c r="H314" s="7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5" t="s">
        <v>47</v>
      </c>
      <c r="B315" s="59">
        <v>45765.0</v>
      </c>
      <c r="C315" s="85"/>
      <c r="D315" s="85"/>
      <c r="E315" s="79"/>
      <c r="F315" s="46">
        <f t="shared" si="5"/>
        <v>0</v>
      </c>
      <c r="G315" s="84"/>
      <c r="H315" s="8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5" t="s">
        <v>49</v>
      </c>
      <c r="B316" s="59">
        <v>45766.0</v>
      </c>
      <c r="C316" s="71"/>
      <c r="D316" s="71"/>
      <c r="E316" s="72"/>
      <c r="F316" s="46">
        <f t="shared" si="5"/>
        <v>0</v>
      </c>
      <c r="G316" s="73"/>
      <c r="H316" s="73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5" t="s">
        <v>50</v>
      </c>
      <c r="B317" s="59">
        <v>45767.0</v>
      </c>
      <c r="C317" s="71"/>
      <c r="D317" s="71"/>
      <c r="E317" s="72"/>
      <c r="F317" s="46">
        <f t="shared" si="5"/>
        <v>0</v>
      </c>
      <c r="G317" s="73"/>
      <c r="H317" s="73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5" t="s">
        <v>38</v>
      </c>
      <c r="B318" s="59">
        <v>45768.0</v>
      </c>
      <c r="C318" s="85"/>
      <c r="D318" s="85"/>
      <c r="E318" s="79"/>
      <c r="F318" s="46">
        <f t="shared" si="5"/>
        <v>0</v>
      </c>
      <c r="G318" s="74"/>
      <c r="H318" s="7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5" t="s">
        <v>41</v>
      </c>
      <c r="B319" s="59">
        <v>45769.0</v>
      </c>
      <c r="C319" s="85"/>
      <c r="D319" s="85"/>
      <c r="E319" s="79"/>
      <c r="F319" s="46">
        <f t="shared" si="5"/>
        <v>0</v>
      </c>
      <c r="G319" s="74"/>
      <c r="H319" s="7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5" t="s">
        <v>43</v>
      </c>
      <c r="B320" s="59">
        <v>45770.0</v>
      </c>
      <c r="C320" s="85"/>
      <c r="D320" s="85"/>
      <c r="E320" s="79"/>
      <c r="F320" s="46">
        <f t="shared" si="5"/>
        <v>0</v>
      </c>
      <c r="G320" s="74"/>
      <c r="H320" s="7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5" t="s">
        <v>45</v>
      </c>
      <c r="B321" s="59">
        <v>45771.0</v>
      </c>
      <c r="C321" s="85"/>
      <c r="D321" s="85"/>
      <c r="E321" s="79"/>
      <c r="F321" s="46">
        <f t="shared" si="5"/>
        <v>0</v>
      </c>
      <c r="G321" s="74"/>
      <c r="H321" s="7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5" t="s">
        <v>47</v>
      </c>
      <c r="B322" s="59">
        <v>45772.0</v>
      </c>
      <c r="C322" s="85"/>
      <c r="D322" s="85"/>
      <c r="E322" s="79"/>
      <c r="F322" s="46">
        <f t="shared" si="5"/>
        <v>0</v>
      </c>
      <c r="G322" s="84"/>
      <c r="H322" s="8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5" t="s">
        <v>49</v>
      </c>
      <c r="B323" s="59">
        <v>45773.0</v>
      </c>
      <c r="C323" s="71"/>
      <c r="D323" s="71"/>
      <c r="E323" s="72"/>
      <c r="F323" s="46">
        <f t="shared" si="5"/>
        <v>0</v>
      </c>
      <c r="G323" s="73"/>
      <c r="H323" s="73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5" t="s">
        <v>50</v>
      </c>
      <c r="B324" s="59">
        <v>45774.0</v>
      </c>
      <c r="C324" s="71"/>
      <c r="D324" s="71"/>
      <c r="E324" s="72"/>
      <c r="F324" s="46">
        <f t="shared" si="5"/>
        <v>0</v>
      </c>
      <c r="G324" s="73"/>
      <c r="H324" s="73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5" t="s">
        <v>38</v>
      </c>
      <c r="B325" s="59">
        <v>45775.0</v>
      </c>
      <c r="C325" s="85"/>
      <c r="D325" s="85"/>
      <c r="E325" s="79"/>
      <c r="F325" s="46">
        <f t="shared" si="5"/>
        <v>0</v>
      </c>
      <c r="G325" s="74"/>
      <c r="H325" s="7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5" t="s">
        <v>41</v>
      </c>
      <c r="B326" s="59">
        <v>45776.0</v>
      </c>
      <c r="C326" s="85"/>
      <c r="D326" s="85"/>
      <c r="E326" s="79"/>
      <c r="F326" s="46">
        <f t="shared" si="5"/>
        <v>0</v>
      </c>
      <c r="G326" s="74"/>
      <c r="H326" s="7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5" t="s">
        <v>43</v>
      </c>
      <c r="B327" s="59">
        <v>45777.0</v>
      </c>
      <c r="C327" s="85"/>
      <c r="D327" s="85"/>
      <c r="E327" s="79"/>
      <c r="F327" s="46">
        <f t="shared" si="5"/>
        <v>0</v>
      </c>
      <c r="G327" s="74"/>
      <c r="H327" s="7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5" t="s">
        <v>45</v>
      </c>
      <c r="B328" s="59">
        <v>45778.0</v>
      </c>
      <c r="C328" s="85"/>
      <c r="D328" s="85"/>
      <c r="E328" s="79"/>
      <c r="F328" s="46">
        <f t="shared" si="5"/>
        <v>0</v>
      </c>
      <c r="G328" s="74"/>
      <c r="H328" s="7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5" t="s">
        <v>47</v>
      </c>
      <c r="B329" s="59">
        <v>45779.0</v>
      </c>
      <c r="C329" s="85"/>
      <c r="D329" s="85"/>
      <c r="E329" s="79"/>
      <c r="F329" s="46">
        <f t="shared" si="5"/>
        <v>0</v>
      </c>
      <c r="G329" s="84"/>
      <c r="H329" s="8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5" t="s">
        <v>49</v>
      </c>
      <c r="B330" s="59">
        <v>45780.0</v>
      </c>
      <c r="C330" s="71"/>
      <c r="D330" s="71"/>
      <c r="E330" s="72"/>
      <c r="F330" s="46">
        <f t="shared" si="5"/>
        <v>0</v>
      </c>
      <c r="G330" s="73"/>
      <c r="H330" s="73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5" t="s">
        <v>50</v>
      </c>
      <c r="B331" s="59">
        <v>45781.0</v>
      </c>
      <c r="C331" s="71"/>
      <c r="D331" s="71"/>
      <c r="E331" s="72"/>
      <c r="F331" s="46">
        <f t="shared" si="5"/>
        <v>0</v>
      </c>
      <c r="G331" s="73"/>
      <c r="H331" s="73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5" t="s">
        <v>38</v>
      </c>
      <c r="B332" s="59">
        <v>45782.0</v>
      </c>
      <c r="C332" s="85"/>
      <c r="D332" s="85"/>
      <c r="E332" s="79"/>
      <c r="F332" s="46">
        <f t="shared" si="5"/>
        <v>0</v>
      </c>
      <c r="G332" s="74"/>
      <c r="H332" s="7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5" t="s">
        <v>41</v>
      </c>
      <c r="B333" s="59">
        <v>45783.0</v>
      </c>
      <c r="C333" s="85"/>
      <c r="D333" s="85"/>
      <c r="E333" s="79"/>
      <c r="F333" s="46">
        <f t="shared" si="5"/>
        <v>0</v>
      </c>
      <c r="G333" s="74"/>
      <c r="H333" s="7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5" t="s">
        <v>43</v>
      </c>
      <c r="B334" s="59">
        <v>45784.0</v>
      </c>
      <c r="C334" s="85"/>
      <c r="D334" s="85"/>
      <c r="E334" s="79"/>
      <c r="F334" s="46">
        <f t="shared" si="5"/>
        <v>0</v>
      </c>
      <c r="G334" s="74"/>
      <c r="H334" s="7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5" t="s">
        <v>45</v>
      </c>
      <c r="B335" s="59">
        <v>45785.0</v>
      </c>
      <c r="C335" s="85"/>
      <c r="D335" s="85"/>
      <c r="E335" s="79"/>
      <c r="F335" s="46">
        <f t="shared" si="5"/>
        <v>0</v>
      </c>
      <c r="G335" s="74"/>
      <c r="H335" s="7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5" t="s">
        <v>47</v>
      </c>
      <c r="B336" s="59">
        <v>45786.0</v>
      </c>
      <c r="C336" s="85"/>
      <c r="D336" s="85"/>
      <c r="E336" s="79"/>
      <c r="F336" s="46">
        <f t="shared" si="5"/>
        <v>0</v>
      </c>
      <c r="G336" s="84"/>
      <c r="H336" s="8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5" t="s">
        <v>49</v>
      </c>
      <c r="B337" s="59">
        <v>45787.0</v>
      </c>
      <c r="C337" s="71"/>
      <c r="D337" s="71"/>
      <c r="E337" s="72"/>
      <c r="F337" s="46">
        <f t="shared" si="5"/>
        <v>0</v>
      </c>
      <c r="G337" s="73"/>
      <c r="H337" s="73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5" t="s">
        <v>50</v>
      </c>
      <c r="B338" s="59">
        <v>45788.0</v>
      </c>
      <c r="C338" s="71"/>
      <c r="D338" s="71"/>
      <c r="E338" s="72"/>
      <c r="F338" s="46">
        <f t="shared" si="5"/>
        <v>0</v>
      </c>
      <c r="G338" s="73"/>
      <c r="H338" s="73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5" t="s">
        <v>38</v>
      </c>
      <c r="B339" s="59">
        <v>45789.0</v>
      </c>
      <c r="C339" s="85"/>
      <c r="D339" s="85"/>
      <c r="E339" s="79"/>
      <c r="F339" s="46">
        <f t="shared" si="5"/>
        <v>0</v>
      </c>
      <c r="G339" s="74"/>
      <c r="H339" s="7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5" t="s">
        <v>41</v>
      </c>
      <c r="B340" s="59">
        <v>45790.0</v>
      </c>
      <c r="C340" s="85"/>
      <c r="D340" s="85"/>
      <c r="E340" s="79"/>
      <c r="F340" s="46">
        <f t="shared" si="5"/>
        <v>0</v>
      </c>
      <c r="G340" s="74"/>
      <c r="H340" s="7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5" t="s">
        <v>43</v>
      </c>
      <c r="B341" s="59">
        <v>45791.0</v>
      </c>
      <c r="C341" s="85"/>
      <c r="D341" s="85"/>
      <c r="E341" s="79"/>
      <c r="F341" s="46">
        <f t="shared" si="5"/>
        <v>0</v>
      </c>
      <c r="G341" s="74"/>
      <c r="H341" s="7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5" t="s">
        <v>45</v>
      </c>
      <c r="B342" s="59">
        <v>45792.0</v>
      </c>
      <c r="C342" s="85"/>
      <c r="D342" s="85"/>
      <c r="E342" s="79"/>
      <c r="F342" s="46">
        <f t="shared" si="5"/>
        <v>0</v>
      </c>
      <c r="G342" s="74"/>
      <c r="H342" s="7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5" t="s">
        <v>47</v>
      </c>
      <c r="B343" s="59">
        <v>45793.0</v>
      </c>
      <c r="C343" s="85"/>
      <c r="D343" s="85"/>
      <c r="E343" s="79"/>
      <c r="F343" s="46">
        <f t="shared" si="5"/>
        <v>0</v>
      </c>
      <c r="G343" s="84"/>
      <c r="H343" s="8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5" t="s">
        <v>49</v>
      </c>
      <c r="B344" s="59">
        <v>45794.0</v>
      </c>
      <c r="C344" s="71"/>
      <c r="D344" s="71"/>
      <c r="E344" s="72"/>
      <c r="F344" s="46">
        <f t="shared" si="5"/>
        <v>0</v>
      </c>
      <c r="G344" s="73"/>
      <c r="H344" s="73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5" t="s">
        <v>50</v>
      </c>
      <c r="B345" s="59">
        <v>45795.0</v>
      </c>
      <c r="C345" s="71"/>
      <c r="D345" s="71"/>
      <c r="E345" s="72"/>
      <c r="F345" s="46">
        <f t="shared" si="5"/>
        <v>0</v>
      </c>
      <c r="G345" s="73"/>
      <c r="H345" s="73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5" t="s">
        <v>38</v>
      </c>
      <c r="B346" s="59">
        <v>45796.0</v>
      </c>
      <c r="C346" s="85"/>
      <c r="D346" s="85"/>
      <c r="E346" s="79"/>
      <c r="F346" s="46">
        <f t="shared" si="5"/>
        <v>0</v>
      </c>
      <c r="G346" s="74"/>
      <c r="H346" s="7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5" t="s">
        <v>41</v>
      </c>
      <c r="B347" s="59">
        <v>45797.0</v>
      </c>
      <c r="C347" s="85"/>
      <c r="D347" s="85"/>
      <c r="E347" s="79"/>
      <c r="F347" s="46">
        <f t="shared" si="5"/>
        <v>0</v>
      </c>
      <c r="G347" s="74"/>
      <c r="H347" s="7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5" t="s">
        <v>43</v>
      </c>
      <c r="B348" s="59">
        <v>45798.0</v>
      </c>
      <c r="C348" s="85"/>
      <c r="D348" s="85"/>
      <c r="E348" s="79"/>
      <c r="F348" s="46">
        <f t="shared" si="5"/>
        <v>0</v>
      </c>
      <c r="G348" s="74"/>
      <c r="H348" s="7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5" t="s">
        <v>45</v>
      </c>
      <c r="B349" s="59">
        <v>45799.0</v>
      </c>
      <c r="C349" s="85"/>
      <c r="D349" s="85"/>
      <c r="E349" s="79"/>
      <c r="F349" s="46">
        <f t="shared" si="5"/>
        <v>0</v>
      </c>
      <c r="G349" s="74"/>
      <c r="H349" s="7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5" t="s">
        <v>47</v>
      </c>
      <c r="B350" s="59">
        <v>45800.0</v>
      </c>
      <c r="C350" s="85"/>
      <c r="D350" s="85"/>
      <c r="E350" s="79"/>
      <c r="F350" s="46">
        <f t="shared" si="5"/>
        <v>0</v>
      </c>
      <c r="G350" s="84"/>
      <c r="H350" s="8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5" t="s">
        <v>49</v>
      </c>
      <c r="B351" s="59">
        <v>45801.0</v>
      </c>
      <c r="C351" s="71"/>
      <c r="D351" s="71"/>
      <c r="E351" s="72"/>
      <c r="F351" s="46">
        <f t="shared" si="5"/>
        <v>0</v>
      </c>
      <c r="G351" s="73"/>
      <c r="H351" s="73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5" t="s">
        <v>50</v>
      </c>
      <c r="B352" s="59">
        <v>45802.0</v>
      </c>
      <c r="C352" s="71"/>
      <c r="D352" s="71"/>
      <c r="E352" s="72"/>
      <c r="F352" s="46">
        <f t="shared" si="5"/>
        <v>0</v>
      </c>
      <c r="G352" s="73"/>
      <c r="H352" s="73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5" t="s">
        <v>38</v>
      </c>
      <c r="B353" s="59">
        <v>45803.0</v>
      </c>
      <c r="C353" s="85"/>
      <c r="D353" s="85"/>
      <c r="E353" s="79"/>
      <c r="F353" s="46">
        <f t="shared" si="5"/>
        <v>0</v>
      </c>
      <c r="G353" s="74"/>
      <c r="H353" s="7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5" t="s">
        <v>41</v>
      </c>
      <c r="B354" s="59">
        <v>45804.0</v>
      </c>
      <c r="C354" s="85"/>
      <c r="D354" s="85"/>
      <c r="E354" s="79"/>
      <c r="F354" s="46">
        <f t="shared" si="5"/>
        <v>0</v>
      </c>
      <c r="G354" s="74"/>
      <c r="H354" s="7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5" t="s">
        <v>43</v>
      </c>
      <c r="B355" s="59">
        <v>45805.0</v>
      </c>
      <c r="C355" s="85"/>
      <c r="D355" s="85"/>
      <c r="E355" s="79"/>
      <c r="F355" s="46">
        <f t="shared" si="5"/>
        <v>0</v>
      </c>
      <c r="G355" s="74"/>
      <c r="H355" s="7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5" t="s">
        <v>45</v>
      </c>
      <c r="B356" s="59">
        <v>45806.0</v>
      </c>
      <c r="C356" s="85"/>
      <c r="D356" s="85"/>
      <c r="E356" s="79"/>
      <c r="F356" s="46">
        <f t="shared" si="5"/>
        <v>0</v>
      </c>
      <c r="G356" s="74"/>
      <c r="H356" s="7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5" t="s">
        <v>47</v>
      </c>
      <c r="B357" s="59">
        <v>45807.0</v>
      </c>
      <c r="C357" s="85"/>
      <c r="D357" s="85"/>
      <c r="E357" s="79"/>
      <c r="F357" s="46">
        <f t="shared" si="5"/>
        <v>0</v>
      </c>
      <c r="G357" s="84"/>
      <c r="H357" s="8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5" t="s">
        <v>49</v>
      </c>
      <c r="B358" s="59">
        <v>45808.0</v>
      </c>
      <c r="C358" s="71"/>
      <c r="D358" s="71"/>
      <c r="E358" s="72"/>
      <c r="F358" s="46">
        <f t="shared" si="5"/>
        <v>0</v>
      </c>
      <c r="G358" s="73"/>
      <c r="H358" s="73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5" t="s">
        <v>50</v>
      </c>
      <c r="B359" s="59">
        <v>45809.0</v>
      </c>
      <c r="C359" s="71"/>
      <c r="D359" s="71"/>
      <c r="E359" s="72"/>
      <c r="F359" s="46">
        <f t="shared" si="5"/>
        <v>0</v>
      </c>
      <c r="G359" s="73"/>
      <c r="H359" s="73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5" t="s">
        <v>38</v>
      </c>
      <c r="B360" s="59">
        <v>45810.0</v>
      </c>
      <c r="C360" s="85"/>
      <c r="D360" s="85"/>
      <c r="E360" s="79"/>
      <c r="F360" s="46">
        <f t="shared" si="5"/>
        <v>0</v>
      </c>
      <c r="G360" s="74"/>
      <c r="H360" s="7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5" t="s">
        <v>41</v>
      </c>
      <c r="B361" s="59">
        <v>45811.0</v>
      </c>
      <c r="C361" s="85"/>
      <c r="D361" s="85"/>
      <c r="E361" s="79"/>
      <c r="F361" s="46">
        <f t="shared" si="5"/>
        <v>0</v>
      </c>
      <c r="G361" s="74"/>
      <c r="H361" s="7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5" t="s">
        <v>43</v>
      </c>
      <c r="B362" s="59">
        <v>45812.0</v>
      </c>
      <c r="C362" s="85"/>
      <c r="D362" s="85"/>
      <c r="E362" s="79"/>
      <c r="F362" s="46">
        <f t="shared" si="5"/>
        <v>0</v>
      </c>
      <c r="G362" s="74"/>
      <c r="H362" s="7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5" t="s">
        <v>45</v>
      </c>
      <c r="B363" s="59">
        <v>45813.0</v>
      </c>
      <c r="C363" s="85"/>
      <c r="D363" s="85"/>
      <c r="E363" s="79"/>
      <c r="F363" s="46">
        <f t="shared" si="5"/>
        <v>0</v>
      </c>
      <c r="G363" s="74"/>
      <c r="H363" s="7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5" t="s">
        <v>47</v>
      </c>
      <c r="B364" s="59">
        <v>45814.0</v>
      </c>
      <c r="C364" s="85"/>
      <c r="D364" s="85"/>
      <c r="E364" s="79"/>
      <c r="F364" s="46">
        <f t="shared" si="5"/>
        <v>0</v>
      </c>
      <c r="G364" s="84"/>
      <c r="H364" s="8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5" t="s">
        <v>49</v>
      </c>
      <c r="B365" s="59">
        <v>45815.0</v>
      </c>
      <c r="C365" s="71"/>
      <c r="D365" s="71"/>
      <c r="E365" s="72"/>
      <c r="F365" s="46">
        <f t="shared" si="5"/>
        <v>0</v>
      </c>
      <c r="G365" s="73"/>
      <c r="H365" s="73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5" t="s">
        <v>50</v>
      </c>
      <c r="B366" s="59">
        <v>45816.0</v>
      </c>
      <c r="C366" s="71"/>
      <c r="D366" s="71"/>
      <c r="E366" s="72"/>
      <c r="F366" s="46">
        <f t="shared" si="5"/>
        <v>0</v>
      </c>
      <c r="G366" s="73"/>
      <c r="H366" s="73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5" t="s">
        <v>38</v>
      </c>
      <c r="B367" s="59">
        <v>45817.0</v>
      </c>
      <c r="C367" s="85"/>
      <c r="D367" s="85"/>
      <c r="E367" s="79"/>
      <c r="F367" s="46">
        <f t="shared" si="5"/>
        <v>0</v>
      </c>
      <c r="G367" s="74"/>
      <c r="H367" s="7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5" t="s">
        <v>41</v>
      </c>
      <c r="B368" s="59">
        <v>45818.0</v>
      </c>
      <c r="C368" s="85"/>
      <c r="D368" s="85"/>
      <c r="E368" s="79"/>
      <c r="F368" s="46">
        <f t="shared" si="5"/>
        <v>0</v>
      </c>
      <c r="G368" s="74"/>
      <c r="H368" s="7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5" t="s">
        <v>43</v>
      </c>
      <c r="B369" s="59">
        <v>45819.0</v>
      </c>
      <c r="C369" s="85"/>
      <c r="D369" s="85"/>
      <c r="E369" s="79"/>
      <c r="F369" s="46">
        <f t="shared" si="5"/>
        <v>0</v>
      </c>
      <c r="G369" s="74"/>
      <c r="H369" s="7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5" t="s">
        <v>45</v>
      </c>
      <c r="B370" s="59">
        <v>45820.0</v>
      </c>
      <c r="C370" s="85"/>
      <c r="D370" s="85"/>
      <c r="E370" s="79"/>
      <c r="F370" s="46">
        <f t="shared" si="5"/>
        <v>0</v>
      </c>
      <c r="G370" s="74"/>
      <c r="H370" s="7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5" t="s">
        <v>47</v>
      </c>
      <c r="B371" s="59">
        <v>45821.0</v>
      </c>
      <c r="C371" s="85"/>
      <c r="D371" s="85"/>
      <c r="E371" s="79"/>
      <c r="F371" s="46">
        <f t="shared" si="5"/>
        <v>0</v>
      </c>
      <c r="G371" s="84"/>
      <c r="H371" s="8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5" t="s">
        <v>49</v>
      </c>
      <c r="B372" s="59">
        <v>45822.0</v>
      </c>
      <c r="C372" s="71"/>
      <c r="D372" s="71"/>
      <c r="E372" s="72"/>
      <c r="F372" s="46">
        <f t="shared" si="5"/>
        <v>0</v>
      </c>
      <c r="G372" s="73"/>
      <c r="H372" s="73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5" t="s">
        <v>50</v>
      </c>
      <c r="B373" s="59">
        <v>45823.0</v>
      </c>
      <c r="C373" s="71"/>
      <c r="D373" s="71"/>
      <c r="E373" s="72"/>
      <c r="F373" s="46">
        <f t="shared" si="5"/>
        <v>0</v>
      </c>
      <c r="G373" s="73"/>
      <c r="H373" s="73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5" t="s">
        <v>38</v>
      </c>
      <c r="B374" s="59">
        <v>45824.0</v>
      </c>
      <c r="C374" s="85"/>
      <c r="D374" s="85"/>
      <c r="E374" s="79"/>
      <c r="F374" s="46">
        <f t="shared" si="5"/>
        <v>0</v>
      </c>
      <c r="G374" s="74"/>
      <c r="H374" s="7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5" t="s">
        <v>41</v>
      </c>
      <c r="B375" s="59">
        <v>45825.0</v>
      </c>
      <c r="C375" s="85"/>
      <c r="D375" s="85"/>
      <c r="E375" s="79"/>
      <c r="F375" s="46">
        <f t="shared" si="5"/>
        <v>0</v>
      </c>
      <c r="G375" s="74"/>
      <c r="H375" s="7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5" t="s">
        <v>43</v>
      </c>
      <c r="B376" s="59">
        <v>45826.0</v>
      </c>
      <c r="C376" s="85"/>
      <c r="D376" s="85"/>
      <c r="E376" s="79"/>
      <c r="F376" s="46">
        <f t="shared" si="5"/>
        <v>0</v>
      </c>
      <c r="G376" s="74"/>
      <c r="H376" s="7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5" t="s">
        <v>45</v>
      </c>
      <c r="B377" s="59">
        <v>45827.0</v>
      </c>
      <c r="C377" s="85"/>
      <c r="D377" s="85"/>
      <c r="E377" s="79"/>
      <c r="F377" s="46">
        <f t="shared" si="5"/>
        <v>0</v>
      </c>
      <c r="G377" s="74"/>
      <c r="H377" s="7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5" t="s">
        <v>47</v>
      </c>
      <c r="B378" s="59">
        <v>45828.0</v>
      </c>
      <c r="C378" s="85"/>
      <c r="D378" s="85"/>
      <c r="E378" s="79"/>
      <c r="F378" s="46">
        <f t="shared" si="5"/>
        <v>0</v>
      </c>
      <c r="G378" s="84"/>
      <c r="H378" s="8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5" t="s">
        <v>49</v>
      </c>
      <c r="B379" s="59">
        <v>45829.0</v>
      </c>
      <c r="C379" s="71"/>
      <c r="D379" s="71"/>
      <c r="E379" s="72"/>
      <c r="F379" s="46">
        <f t="shared" si="5"/>
        <v>0</v>
      </c>
      <c r="G379" s="73"/>
      <c r="H379" s="73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5" t="s">
        <v>50</v>
      </c>
      <c r="B380" s="59">
        <v>45830.0</v>
      </c>
      <c r="C380" s="71"/>
      <c r="D380" s="71"/>
      <c r="E380" s="72"/>
      <c r="F380" s="46">
        <f t="shared" si="5"/>
        <v>0</v>
      </c>
      <c r="G380" s="73"/>
      <c r="H380" s="73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5" t="s">
        <v>38</v>
      </c>
      <c r="B381" s="59">
        <v>45831.0</v>
      </c>
      <c r="C381" s="85"/>
      <c r="D381" s="85"/>
      <c r="E381" s="79"/>
      <c r="F381" s="46">
        <f t="shared" si="5"/>
        <v>0</v>
      </c>
      <c r="G381" s="74"/>
      <c r="H381" s="7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5" t="s">
        <v>41</v>
      </c>
      <c r="B382" s="59">
        <v>45832.0</v>
      </c>
      <c r="C382" s="85"/>
      <c r="D382" s="85"/>
      <c r="E382" s="79"/>
      <c r="F382" s="46">
        <f t="shared" si="5"/>
        <v>0</v>
      </c>
      <c r="G382" s="74"/>
      <c r="H382" s="7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5" t="s">
        <v>43</v>
      </c>
      <c r="B383" s="59">
        <v>45833.0</v>
      </c>
      <c r="C383" s="85"/>
      <c r="D383" s="85"/>
      <c r="E383" s="79"/>
      <c r="F383" s="46">
        <f t="shared" si="5"/>
        <v>0</v>
      </c>
      <c r="G383" s="74"/>
      <c r="H383" s="7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5" t="s">
        <v>45</v>
      </c>
      <c r="B384" s="59">
        <v>45834.0</v>
      </c>
      <c r="C384" s="85"/>
      <c r="D384" s="85"/>
      <c r="E384" s="79"/>
      <c r="F384" s="46">
        <f t="shared" si="5"/>
        <v>0</v>
      </c>
      <c r="G384" s="74"/>
      <c r="H384" s="7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5" t="s">
        <v>47</v>
      </c>
      <c r="B385" s="59">
        <v>45835.0</v>
      </c>
      <c r="C385" s="85"/>
      <c r="D385" s="85"/>
      <c r="E385" s="79"/>
      <c r="F385" s="46">
        <f t="shared" si="5"/>
        <v>0</v>
      </c>
      <c r="G385" s="84"/>
      <c r="H385" s="8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5" t="s">
        <v>49</v>
      </c>
      <c r="B386" s="59">
        <v>45836.0</v>
      </c>
      <c r="C386" s="71"/>
      <c r="D386" s="71"/>
      <c r="E386" s="72"/>
      <c r="F386" s="46">
        <f t="shared" si="5"/>
        <v>0</v>
      </c>
      <c r="G386" s="73"/>
      <c r="H386" s="73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5" t="s">
        <v>50</v>
      </c>
      <c r="B387" s="59">
        <v>45837.0</v>
      </c>
      <c r="C387" s="71"/>
      <c r="D387" s="71"/>
      <c r="E387" s="72"/>
      <c r="F387" s="46">
        <f t="shared" si="5"/>
        <v>0</v>
      </c>
      <c r="G387" s="73"/>
      <c r="H387" s="73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5" t="s">
        <v>38</v>
      </c>
      <c r="B388" s="59">
        <v>45838.0</v>
      </c>
      <c r="C388" s="85"/>
      <c r="D388" s="85"/>
      <c r="E388" s="79"/>
      <c r="F388" s="46">
        <f t="shared" si="5"/>
        <v>0</v>
      </c>
      <c r="G388" s="74"/>
      <c r="H388" s="7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86" t="s">
        <v>112</v>
      </c>
      <c r="B389" s="87"/>
      <c r="C389" s="88"/>
      <c r="D389" s="88"/>
      <c r="E389" s="89"/>
      <c r="F389" s="90">
        <f>SUM(F24:F387)</f>
        <v>657</v>
      </c>
      <c r="G389" s="91" t="s">
        <v>113</v>
      </c>
      <c r="H389" s="92" t="s">
        <v>36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13"/>
      <c r="D390" s="13"/>
      <c r="E390" s="14"/>
      <c r="F390" s="4"/>
      <c r="G390" s="93">
        <f>F389*0.67</f>
        <v>440.19</v>
      </c>
      <c r="H390" s="94">
        <f>COUNTIFS(H24:H388, "Home")</f>
        <v>79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13"/>
      <c r="D391" s="13"/>
      <c r="E391" s="14"/>
      <c r="F391" s="4"/>
      <c r="G391" s="4"/>
      <c r="H391" s="92" t="s">
        <v>37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13"/>
      <c r="D392" s="13"/>
      <c r="E392" s="14"/>
      <c r="F392" s="4"/>
      <c r="G392" s="4"/>
      <c r="H392" s="92">
        <f>COUNTIFS(H24:H388, "Office")</f>
        <v>3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13"/>
      <c r="D393" s="13"/>
      <c r="E393" s="1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13"/>
      <c r="D394" s="13"/>
      <c r="E394" s="1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13"/>
      <c r="D395" s="13"/>
      <c r="E395" s="1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13"/>
      <c r="D396" s="13"/>
      <c r="E396" s="1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13"/>
      <c r="D397" s="13"/>
      <c r="E397" s="1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13"/>
      <c r="D398" s="13"/>
      <c r="E398" s="1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13"/>
      <c r="D399" s="13"/>
      <c r="E399" s="1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13"/>
      <c r="D400" s="13"/>
      <c r="E400" s="1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13"/>
      <c r="D401" s="13"/>
      <c r="E401" s="1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13"/>
      <c r="D402" s="13"/>
      <c r="E402" s="1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13"/>
      <c r="D403" s="13"/>
      <c r="E403" s="1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13"/>
      <c r="D404" s="13"/>
      <c r="E404" s="1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13"/>
      <c r="D405" s="13"/>
      <c r="E405" s="1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13"/>
      <c r="D406" s="13"/>
      <c r="E406" s="1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13"/>
      <c r="D407" s="13"/>
      <c r="E407" s="1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13"/>
      <c r="D408" s="13"/>
      <c r="E408" s="1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13"/>
      <c r="D409" s="13"/>
      <c r="E409" s="1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13"/>
      <c r="D410" s="13"/>
      <c r="E410" s="1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13"/>
      <c r="D411" s="13"/>
      <c r="E411" s="1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13"/>
      <c r="D412" s="13"/>
      <c r="E412" s="1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13"/>
      <c r="D413" s="13"/>
      <c r="E413" s="1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13"/>
      <c r="D414" s="13"/>
      <c r="E414" s="1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13"/>
      <c r="D415" s="13"/>
      <c r="E415" s="1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13"/>
      <c r="D416" s="13"/>
      <c r="E416" s="1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13"/>
      <c r="D417" s="13"/>
      <c r="E417" s="1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13"/>
      <c r="D418" s="13"/>
      <c r="E418" s="1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13"/>
      <c r="D419" s="13"/>
      <c r="E419" s="1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13"/>
      <c r="D420" s="13"/>
      <c r="E420" s="1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13"/>
      <c r="D421" s="13"/>
      <c r="E421" s="1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13"/>
      <c r="D422" s="13"/>
      <c r="E422" s="1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13"/>
      <c r="D423" s="13"/>
      <c r="E423" s="1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13"/>
      <c r="D424" s="13"/>
      <c r="E424" s="1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13"/>
      <c r="D425" s="13"/>
      <c r="E425" s="1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13"/>
      <c r="D426" s="13"/>
      <c r="E426" s="1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13"/>
      <c r="D427" s="13"/>
      <c r="E427" s="1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13"/>
      <c r="D428" s="13"/>
      <c r="E428" s="1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13"/>
      <c r="D429" s="13"/>
      <c r="E429" s="1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"/>
      <c r="C430" s="13"/>
      <c r="D430" s="13"/>
      <c r="E430" s="1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"/>
      <c r="C431" s="13"/>
      <c r="D431" s="13"/>
      <c r="E431" s="1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"/>
      <c r="C432" s="13"/>
      <c r="D432" s="13"/>
      <c r="E432" s="1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"/>
      <c r="C433" s="13"/>
      <c r="D433" s="13"/>
      <c r="E433" s="1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"/>
      <c r="C434" s="13"/>
      <c r="D434" s="13"/>
      <c r="E434" s="1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"/>
      <c r="C435" s="13"/>
      <c r="D435" s="13"/>
      <c r="E435" s="1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"/>
      <c r="C436" s="13"/>
      <c r="D436" s="13"/>
      <c r="E436" s="1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"/>
      <c r="C437" s="13"/>
      <c r="D437" s="13"/>
      <c r="E437" s="1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"/>
      <c r="C438" s="13"/>
      <c r="D438" s="13"/>
      <c r="E438" s="1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"/>
      <c r="C439" s="13"/>
      <c r="D439" s="13"/>
      <c r="E439" s="1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"/>
      <c r="C440" s="13"/>
      <c r="D440" s="13"/>
      <c r="E440" s="1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"/>
      <c r="C441" s="13"/>
      <c r="D441" s="13"/>
      <c r="E441" s="1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"/>
      <c r="C442" s="13"/>
      <c r="D442" s="13"/>
      <c r="E442" s="1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"/>
      <c r="C443" s="13"/>
      <c r="D443" s="13"/>
      <c r="E443" s="1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"/>
      <c r="C444" s="13"/>
      <c r="D444" s="13"/>
      <c r="E444" s="1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"/>
      <c r="C445" s="13"/>
      <c r="D445" s="13"/>
      <c r="E445" s="1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"/>
      <c r="C446" s="13"/>
      <c r="D446" s="13"/>
      <c r="E446" s="1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"/>
      <c r="C447" s="13"/>
      <c r="D447" s="13"/>
      <c r="E447" s="1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"/>
      <c r="C448" s="13"/>
      <c r="D448" s="13"/>
      <c r="E448" s="1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"/>
      <c r="C449" s="13"/>
      <c r="D449" s="13"/>
      <c r="E449" s="1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"/>
      <c r="C450" s="13"/>
      <c r="D450" s="13"/>
      <c r="E450" s="1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"/>
      <c r="C451" s="13"/>
      <c r="D451" s="13"/>
      <c r="E451" s="1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"/>
      <c r="C452" s="13"/>
      <c r="D452" s="13"/>
      <c r="E452" s="1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"/>
      <c r="C453" s="13"/>
      <c r="D453" s="13"/>
      <c r="E453" s="1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"/>
      <c r="C454" s="13"/>
      <c r="D454" s="13"/>
      <c r="E454" s="1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"/>
      <c r="C455" s="13"/>
      <c r="D455" s="13"/>
      <c r="E455" s="1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"/>
      <c r="C456" s="13"/>
      <c r="D456" s="13"/>
      <c r="E456" s="1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"/>
      <c r="C457" s="13"/>
      <c r="D457" s="13"/>
      <c r="E457" s="1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"/>
      <c r="C458" s="13"/>
      <c r="D458" s="13"/>
      <c r="E458" s="1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"/>
      <c r="C459" s="13"/>
      <c r="D459" s="13"/>
      <c r="E459" s="1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"/>
      <c r="C460" s="13"/>
      <c r="D460" s="13"/>
      <c r="E460" s="1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"/>
      <c r="C461" s="13"/>
      <c r="D461" s="13"/>
      <c r="E461" s="1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"/>
      <c r="C462" s="13"/>
      <c r="D462" s="13"/>
      <c r="E462" s="1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"/>
      <c r="C463" s="13"/>
      <c r="D463" s="13"/>
      <c r="E463" s="1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"/>
      <c r="C464" s="13"/>
      <c r="D464" s="13"/>
      <c r="E464" s="1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"/>
      <c r="C465" s="13"/>
      <c r="D465" s="13"/>
      <c r="E465" s="1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"/>
      <c r="C466" s="13"/>
      <c r="D466" s="13"/>
      <c r="E466" s="1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"/>
      <c r="C467" s="13"/>
      <c r="D467" s="13"/>
      <c r="E467" s="1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"/>
      <c r="C468" s="13"/>
      <c r="D468" s="13"/>
      <c r="E468" s="1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"/>
      <c r="C469" s="13"/>
      <c r="D469" s="13"/>
      <c r="E469" s="1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"/>
      <c r="C470" s="13"/>
      <c r="D470" s="13"/>
      <c r="E470" s="1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"/>
      <c r="C471" s="13"/>
      <c r="D471" s="13"/>
      <c r="E471" s="1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"/>
      <c r="C472" s="13"/>
      <c r="D472" s="13"/>
      <c r="E472" s="1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"/>
      <c r="C473" s="13"/>
      <c r="D473" s="13"/>
      <c r="E473" s="1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"/>
      <c r="C474" s="13"/>
      <c r="D474" s="13"/>
      <c r="E474" s="1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"/>
      <c r="C475" s="13"/>
      <c r="D475" s="13"/>
      <c r="E475" s="1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"/>
      <c r="C476" s="13"/>
      <c r="D476" s="13"/>
      <c r="E476" s="1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"/>
      <c r="C477" s="13"/>
      <c r="D477" s="13"/>
      <c r="E477" s="1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"/>
      <c r="C478" s="13"/>
      <c r="D478" s="13"/>
      <c r="E478" s="1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"/>
      <c r="C479" s="13"/>
      <c r="D479" s="13"/>
      <c r="E479" s="1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"/>
      <c r="C480" s="13"/>
      <c r="D480" s="13"/>
      <c r="E480" s="1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"/>
      <c r="C481" s="13"/>
      <c r="D481" s="13"/>
      <c r="E481" s="1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"/>
      <c r="C482" s="13"/>
      <c r="D482" s="13"/>
      <c r="E482" s="1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"/>
      <c r="C483" s="13"/>
      <c r="D483" s="13"/>
      <c r="E483" s="1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"/>
      <c r="C484" s="13"/>
      <c r="D484" s="13"/>
      <c r="E484" s="1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"/>
      <c r="C485" s="13"/>
      <c r="D485" s="13"/>
      <c r="E485" s="1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"/>
      <c r="C486" s="13"/>
      <c r="D486" s="13"/>
      <c r="E486" s="1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"/>
      <c r="C487" s="13"/>
      <c r="D487" s="13"/>
      <c r="E487" s="1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"/>
      <c r="C488" s="13"/>
      <c r="D488" s="13"/>
      <c r="E488" s="1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"/>
      <c r="C489" s="13"/>
      <c r="D489" s="13"/>
      <c r="E489" s="1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"/>
      <c r="C490" s="13"/>
      <c r="D490" s="13"/>
      <c r="E490" s="1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"/>
      <c r="C491" s="13"/>
      <c r="D491" s="13"/>
      <c r="E491" s="1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"/>
      <c r="C492" s="13"/>
      <c r="D492" s="13"/>
      <c r="E492" s="1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"/>
      <c r="C493" s="13"/>
      <c r="D493" s="13"/>
      <c r="E493" s="1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"/>
      <c r="C494" s="13"/>
      <c r="D494" s="13"/>
      <c r="E494" s="1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"/>
      <c r="C495" s="13"/>
      <c r="D495" s="13"/>
      <c r="E495" s="1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"/>
      <c r="C496" s="13"/>
      <c r="D496" s="13"/>
      <c r="E496" s="1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"/>
      <c r="C497" s="13"/>
      <c r="D497" s="13"/>
      <c r="E497" s="1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"/>
      <c r="C498" s="13"/>
      <c r="D498" s="13"/>
      <c r="E498" s="1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"/>
      <c r="C499" s="13"/>
      <c r="D499" s="13"/>
      <c r="E499" s="1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"/>
      <c r="C500" s="13"/>
      <c r="D500" s="13"/>
      <c r="E500" s="1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"/>
      <c r="C501" s="13"/>
      <c r="D501" s="13"/>
      <c r="E501" s="1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"/>
      <c r="C502" s="13"/>
      <c r="D502" s="13"/>
      <c r="E502" s="1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"/>
      <c r="C503" s="13"/>
      <c r="D503" s="13"/>
      <c r="E503" s="1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"/>
      <c r="C504" s="13"/>
      <c r="D504" s="13"/>
      <c r="E504" s="1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"/>
      <c r="C505" s="13"/>
      <c r="D505" s="13"/>
      <c r="E505" s="1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"/>
      <c r="C506" s="13"/>
      <c r="D506" s="13"/>
      <c r="E506" s="1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"/>
      <c r="C507" s="13"/>
      <c r="D507" s="13"/>
      <c r="E507" s="1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"/>
      <c r="C508" s="13"/>
      <c r="D508" s="13"/>
      <c r="E508" s="1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"/>
      <c r="C509" s="13"/>
      <c r="D509" s="13"/>
      <c r="E509" s="1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"/>
      <c r="C510" s="13"/>
      <c r="D510" s="13"/>
      <c r="E510" s="1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"/>
      <c r="C511" s="13"/>
      <c r="D511" s="13"/>
      <c r="E511" s="1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"/>
      <c r="C512" s="13"/>
      <c r="D512" s="13"/>
      <c r="E512" s="1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"/>
      <c r="C513" s="13"/>
      <c r="D513" s="13"/>
      <c r="E513" s="1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"/>
      <c r="C514" s="13"/>
      <c r="D514" s="13"/>
      <c r="E514" s="1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"/>
      <c r="C515" s="13"/>
      <c r="D515" s="13"/>
      <c r="E515" s="1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"/>
      <c r="C516" s="13"/>
      <c r="D516" s="13"/>
      <c r="E516" s="1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"/>
      <c r="C517" s="13"/>
      <c r="D517" s="13"/>
      <c r="E517" s="1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"/>
      <c r="C518" s="13"/>
      <c r="D518" s="13"/>
      <c r="E518" s="1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"/>
      <c r="C519" s="13"/>
      <c r="D519" s="13"/>
      <c r="E519" s="1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"/>
      <c r="C520" s="13"/>
      <c r="D520" s="13"/>
      <c r="E520" s="1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"/>
      <c r="C521" s="13"/>
      <c r="D521" s="13"/>
      <c r="E521" s="1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"/>
      <c r="C522" s="13"/>
      <c r="D522" s="13"/>
      <c r="E522" s="1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"/>
      <c r="C523" s="13"/>
      <c r="D523" s="13"/>
      <c r="E523" s="1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"/>
      <c r="C524" s="13"/>
      <c r="D524" s="13"/>
      <c r="E524" s="1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"/>
      <c r="C525" s="13"/>
      <c r="D525" s="13"/>
      <c r="E525" s="1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"/>
      <c r="C526" s="13"/>
      <c r="D526" s="13"/>
      <c r="E526" s="1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"/>
      <c r="C527" s="13"/>
      <c r="D527" s="13"/>
      <c r="E527" s="1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"/>
      <c r="C528" s="13"/>
      <c r="D528" s="13"/>
      <c r="E528" s="1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"/>
      <c r="C529" s="13"/>
      <c r="D529" s="13"/>
      <c r="E529" s="1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"/>
      <c r="C530" s="13"/>
      <c r="D530" s="13"/>
      <c r="E530" s="1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"/>
      <c r="C531" s="13"/>
      <c r="D531" s="13"/>
      <c r="E531" s="1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"/>
      <c r="C532" s="13"/>
      <c r="D532" s="13"/>
      <c r="E532" s="1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"/>
      <c r="C533" s="13"/>
      <c r="D533" s="13"/>
      <c r="E533" s="1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"/>
      <c r="C534" s="13"/>
      <c r="D534" s="13"/>
      <c r="E534" s="1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"/>
      <c r="C535" s="13"/>
      <c r="D535" s="13"/>
      <c r="E535" s="1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"/>
      <c r="C536" s="13"/>
      <c r="D536" s="13"/>
      <c r="E536" s="1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"/>
      <c r="C537" s="13"/>
      <c r="D537" s="13"/>
      <c r="E537" s="1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"/>
      <c r="C538" s="13"/>
      <c r="D538" s="13"/>
      <c r="E538" s="1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"/>
      <c r="C539" s="13"/>
      <c r="D539" s="13"/>
      <c r="E539" s="1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"/>
      <c r="C540" s="13"/>
      <c r="D540" s="13"/>
      <c r="E540" s="1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"/>
      <c r="C541" s="13"/>
      <c r="D541" s="13"/>
      <c r="E541" s="1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"/>
      <c r="C542" s="13"/>
      <c r="D542" s="13"/>
      <c r="E542" s="1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"/>
      <c r="C543" s="13"/>
      <c r="D543" s="13"/>
      <c r="E543" s="1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"/>
      <c r="C544" s="13"/>
      <c r="D544" s="13"/>
      <c r="E544" s="1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"/>
      <c r="C545" s="13"/>
      <c r="D545" s="13"/>
      <c r="E545" s="1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"/>
      <c r="C546" s="13"/>
      <c r="D546" s="13"/>
      <c r="E546" s="1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"/>
      <c r="C547" s="13"/>
      <c r="D547" s="13"/>
      <c r="E547" s="1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"/>
      <c r="C548" s="13"/>
      <c r="D548" s="13"/>
      <c r="E548" s="1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"/>
      <c r="C549" s="13"/>
      <c r="D549" s="13"/>
      <c r="E549" s="1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"/>
      <c r="C550" s="13"/>
      <c r="D550" s="13"/>
      <c r="E550" s="1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"/>
      <c r="C551" s="13"/>
      <c r="D551" s="13"/>
      <c r="E551" s="1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"/>
      <c r="C552" s="13"/>
      <c r="D552" s="13"/>
      <c r="E552" s="1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"/>
      <c r="C553" s="13"/>
      <c r="D553" s="13"/>
      <c r="E553" s="1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"/>
      <c r="C554" s="13"/>
      <c r="D554" s="13"/>
      <c r="E554" s="1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"/>
      <c r="C555" s="13"/>
      <c r="D555" s="13"/>
      <c r="E555" s="1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"/>
      <c r="C556" s="13"/>
      <c r="D556" s="13"/>
      <c r="E556" s="1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"/>
      <c r="C557" s="13"/>
      <c r="D557" s="13"/>
      <c r="E557" s="1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"/>
      <c r="C558" s="13"/>
      <c r="D558" s="13"/>
      <c r="E558" s="1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"/>
      <c r="C559" s="13"/>
      <c r="D559" s="13"/>
      <c r="E559" s="1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"/>
      <c r="C560" s="13"/>
      <c r="D560" s="13"/>
      <c r="E560" s="1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"/>
      <c r="C561" s="13"/>
      <c r="D561" s="13"/>
      <c r="E561" s="1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"/>
      <c r="C562" s="13"/>
      <c r="D562" s="13"/>
      <c r="E562" s="1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"/>
      <c r="C563" s="13"/>
      <c r="D563" s="13"/>
      <c r="E563" s="1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"/>
      <c r="C564" s="13"/>
      <c r="D564" s="13"/>
      <c r="E564" s="1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"/>
      <c r="C565" s="13"/>
      <c r="D565" s="13"/>
      <c r="E565" s="1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"/>
      <c r="C566" s="13"/>
      <c r="D566" s="13"/>
      <c r="E566" s="1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"/>
      <c r="C567" s="13"/>
      <c r="D567" s="13"/>
      <c r="E567" s="1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"/>
      <c r="C568" s="13"/>
      <c r="D568" s="13"/>
      <c r="E568" s="1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"/>
      <c r="C569" s="13"/>
      <c r="D569" s="13"/>
      <c r="E569" s="1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"/>
      <c r="C570" s="13"/>
      <c r="D570" s="13"/>
      <c r="E570" s="1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"/>
      <c r="C571" s="13"/>
      <c r="D571" s="13"/>
      <c r="E571" s="1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"/>
      <c r="C572" s="13"/>
      <c r="D572" s="13"/>
      <c r="E572" s="1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"/>
      <c r="C573" s="13"/>
      <c r="D573" s="13"/>
      <c r="E573" s="1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"/>
      <c r="C574" s="13"/>
      <c r="D574" s="13"/>
      <c r="E574" s="1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"/>
      <c r="C575" s="13"/>
      <c r="D575" s="13"/>
      <c r="E575" s="1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"/>
      <c r="C576" s="13"/>
      <c r="D576" s="13"/>
      <c r="E576" s="1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"/>
      <c r="C577" s="13"/>
      <c r="D577" s="13"/>
      <c r="E577" s="1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"/>
      <c r="C578" s="13"/>
      <c r="D578" s="13"/>
      <c r="E578" s="1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"/>
      <c r="C579" s="13"/>
      <c r="D579" s="13"/>
      <c r="E579" s="1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"/>
      <c r="C580" s="13"/>
      <c r="D580" s="13"/>
      <c r="E580" s="1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13"/>
      <c r="D581" s="13"/>
      <c r="E581" s="1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13"/>
      <c r="D582" s="13"/>
      <c r="E582" s="1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13"/>
      <c r="D583" s="13"/>
      <c r="E583" s="1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13"/>
      <c r="D584" s="13"/>
      <c r="E584" s="1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13"/>
      <c r="D585" s="13"/>
      <c r="E585" s="1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13"/>
      <c r="D586" s="13"/>
      <c r="E586" s="1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13"/>
      <c r="D587" s="13"/>
      <c r="E587" s="1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13"/>
      <c r="D588" s="13"/>
      <c r="E588" s="1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13"/>
      <c r="D589" s="13"/>
      <c r="E589" s="1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13"/>
      <c r="D590" s="13"/>
      <c r="E590" s="1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13"/>
      <c r="D591" s="13"/>
      <c r="E591" s="1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13"/>
      <c r="D592" s="13"/>
      <c r="E592" s="1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13"/>
      <c r="D593" s="13"/>
      <c r="E593" s="1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13"/>
      <c r="D594" s="13"/>
      <c r="E594" s="1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13"/>
      <c r="D595" s="13"/>
      <c r="E595" s="1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13"/>
      <c r="D596" s="13"/>
      <c r="E596" s="1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13"/>
      <c r="D597" s="13"/>
      <c r="E597" s="1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13"/>
      <c r="D598" s="13"/>
      <c r="E598" s="1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13"/>
      <c r="D599" s="13"/>
      <c r="E599" s="1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13"/>
      <c r="D600" s="13"/>
      <c r="E600" s="1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13"/>
      <c r="D601" s="13"/>
      <c r="E601" s="1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13"/>
      <c r="D602" s="13"/>
      <c r="E602" s="1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13"/>
      <c r="D603" s="13"/>
      <c r="E603" s="1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13"/>
      <c r="D604" s="13"/>
      <c r="E604" s="1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13"/>
      <c r="D605" s="13"/>
      <c r="E605" s="1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13"/>
      <c r="D606" s="13"/>
      <c r="E606" s="1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13"/>
      <c r="D607" s="13"/>
      <c r="E607" s="1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13"/>
      <c r="D608" s="13"/>
      <c r="E608" s="1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13"/>
      <c r="D609" s="13"/>
      <c r="E609" s="1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13"/>
      <c r="D610" s="13"/>
      <c r="E610" s="1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13"/>
      <c r="D611" s="13"/>
      <c r="E611" s="1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13"/>
      <c r="D612" s="13"/>
      <c r="E612" s="1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13"/>
      <c r="D613" s="13"/>
      <c r="E613" s="1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13"/>
      <c r="D614" s="13"/>
      <c r="E614" s="1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13"/>
      <c r="D615" s="13"/>
      <c r="E615" s="1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13"/>
      <c r="D616" s="13"/>
      <c r="E616" s="1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13"/>
      <c r="D617" s="13"/>
      <c r="E617" s="1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13"/>
      <c r="D618" s="13"/>
      <c r="E618" s="1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13"/>
      <c r="D619" s="13"/>
      <c r="E619" s="1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13"/>
      <c r="D620" s="13"/>
      <c r="E620" s="1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13"/>
      <c r="D621" s="13"/>
      <c r="E621" s="1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13"/>
      <c r="D622" s="13"/>
      <c r="E622" s="1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13"/>
      <c r="D623" s="13"/>
      <c r="E623" s="1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13"/>
      <c r="D624" s="13"/>
      <c r="E624" s="1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13"/>
      <c r="D625" s="13"/>
      <c r="E625" s="1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13"/>
      <c r="D626" s="13"/>
      <c r="E626" s="1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13"/>
      <c r="D627" s="13"/>
      <c r="E627" s="1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13"/>
      <c r="D628" s="13"/>
      <c r="E628" s="1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13"/>
      <c r="D629" s="13"/>
      <c r="E629" s="1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13"/>
      <c r="D630" s="13"/>
      <c r="E630" s="1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13"/>
      <c r="D631" s="13"/>
      <c r="E631" s="1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13"/>
      <c r="D632" s="13"/>
      <c r="E632" s="1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13"/>
      <c r="D633" s="13"/>
      <c r="E633" s="1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13"/>
      <c r="D634" s="13"/>
      <c r="E634" s="1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13"/>
      <c r="D635" s="13"/>
      <c r="E635" s="1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13"/>
      <c r="D636" s="13"/>
      <c r="E636" s="1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13"/>
      <c r="D637" s="13"/>
      <c r="E637" s="1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13"/>
      <c r="D638" s="13"/>
      <c r="E638" s="1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13"/>
      <c r="D639" s="13"/>
      <c r="E639" s="1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13"/>
      <c r="D640" s="13"/>
      <c r="E640" s="1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13"/>
      <c r="D641" s="13"/>
      <c r="E641" s="1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13"/>
      <c r="D642" s="13"/>
      <c r="E642" s="1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13"/>
      <c r="D643" s="13"/>
      <c r="E643" s="1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13"/>
      <c r="D644" s="13"/>
      <c r="E644" s="1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13"/>
      <c r="D645" s="13"/>
      <c r="E645" s="1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13"/>
      <c r="D646" s="13"/>
      <c r="E646" s="1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13"/>
      <c r="D647" s="13"/>
      <c r="E647" s="1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13"/>
      <c r="D648" s="13"/>
      <c r="E648" s="1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13"/>
      <c r="D649" s="13"/>
      <c r="E649" s="1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13"/>
      <c r="D650" s="13"/>
      <c r="E650" s="1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13"/>
      <c r="D651" s="13"/>
      <c r="E651" s="1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13"/>
      <c r="D652" s="13"/>
      <c r="E652" s="1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13"/>
      <c r="D653" s="13"/>
      <c r="E653" s="1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13"/>
      <c r="D654" s="13"/>
      <c r="E654" s="1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13"/>
      <c r="D655" s="13"/>
      <c r="E655" s="1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13"/>
      <c r="D656" s="13"/>
      <c r="E656" s="1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13"/>
      <c r="D657" s="13"/>
      <c r="E657" s="1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13"/>
      <c r="D658" s="13"/>
      <c r="E658" s="1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13"/>
      <c r="D659" s="13"/>
      <c r="E659" s="1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13"/>
      <c r="D660" s="13"/>
      <c r="E660" s="1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13"/>
      <c r="D661" s="13"/>
      <c r="E661" s="1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13"/>
      <c r="D662" s="13"/>
      <c r="E662" s="1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13"/>
      <c r="D663" s="13"/>
      <c r="E663" s="1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13"/>
      <c r="D664" s="13"/>
      <c r="E664" s="1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13"/>
      <c r="D665" s="13"/>
      <c r="E665" s="1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13"/>
      <c r="D666" s="13"/>
      <c r="E666" s="1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13"/>
      <c r="D667" s="13"/>
      <c r="E667" s="1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13"/>
      <c r="D668" s="13"/>
      <c r="E668" s="1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13"/>
      <c r="D669" s="13"/>
      <c r="E669" s="1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13"/>
      <c r="D670" s="13"/>
      <c r="E670" s="1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13"/>
      <c r="D671" s="13"/>
      <c r="E671" s="1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13"/>
      <c r="D672" s="13"/>
      <c r="E672" s="1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13"/>
      <c r="D673" s="13"/>
      <c r="E673" s="1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13"/>
      <c r="D674" s="13"/>
      <c r="E674" s="1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13"/>
      <c r="D675" s="13"/>
      <c r="E675" s="1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13"/>
      <c r="D676" s="13"/>
      <c r="E676" s="1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13"/>
      <c r="D677" s="13"/>
      <c r="E677" s="1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13"/>
      <c r="D678" s="13"/>
      <c r="E678" s="1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13"/>
      <c r="D679" s="13"/>
      <c r="E679" s="1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13"/>
      <c r="D680" s="13"/>
      <c r="E680" s="1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13"/>
      <c r="D681" s="13"/>
      <c r="E681" s="1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13"/>
      <c r="D682" s="13"/>
      <c r="E682" s="1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13"/>
      <c r="D683" s="13"/>
      <c r="E683" s="1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13"/>
      <c r="D684" s="13"/>
      <c r="E684" s="1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13"/>
      <c r="D685" s="13"/>
      <c r="E685" s="1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13"/>
      <c r="D686" s="13"/>
      <c r="E686" s="1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13"/>
      <c r="D687" s="13"/>
      <c r="E687" s="1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13"/>
      <c r="D688" s="13"/>
      <c r="E688" s="1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13"/>
      <c r="D689" s="13"/>
      <c r="E689" s="1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13"/>
      <c r="D690" s="13"/>
      <c r="E690" s="1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13"/>
      <c r="D691" s="13"/>
      <c r="E691" s="1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13"/>
      <c r="D692" s="13"/>
      <c r="E692" s="1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13"/>
      <c r="D693" s="13"/>
      <c r="E693" s="1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13"/>
      <c r="D694" s="13"/>
      <c r="E694" s="1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13"/>
      <c r="D695" s="13"/>
      <c r="E695" s="1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13"/>
      <c r="D696" s="13"/>
      <c r="E696" s="1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13"/>
      <c r="D697" s="13"/>
      <c r="E697" s="1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13"/>
      <c r="D698" s="13"/>
      <c r="E698" s="1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13"/>
      <c r="D699" s="13"/>
      <c r="E699" s="1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13"/>
      <c r="D700" s="13"/>
      <c r="E700" s="1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13"/>
      <c r="D701" s="13"/>
      <c r="E701" s="1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13"/>
      <c r="D702" s="13"/>
      <c r="E702" s="1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13"/>
      <c r="D703" s="13"/>
      <c r="E703" s="1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13"/>
      <c r="D704" s="13"/>
      <c r="E704" s="1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13"/>
      <c r="D705" s="13"/>
      <c r="E705" s="1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13"/>
      <c r="D706" s="13"/>
      <c r="E706" s="1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13"/>
      <c r="D707" s="13"/>
      <c r="E707" s="1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13"/>
      <c r="D708" s="13"/>
      <c r="E708" s="1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13"/>
      <c r="D709" s="13"/>
      <c r="E709" s="1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13"/>
      <c r="D710" s="13"/>
      <c r="E710" s="1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13"/>
      <c r="D711" s="13"/>
      <c r="E711" s="1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13"/>
      <c r="D712" s="13"/>
      <c r="E712" s="1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13"/>
      <c r="D713" s="13"/>
      <c r="E713" s="1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13"/>
      <c r="D714" s="13"/>
      <c r="E714" s="1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13"/>
      <c r="D715" s="13"/>
      <c r="E715" s="1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13"/>
      <c r="D716" s="13"/>
      <c r="E716" s="1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13"/>
      <c r="D717" s="13"/>
      <c r="E717" s="1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13"/>
      <c r="D718" s="13"/>
      <c r="E718" s="1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13"/>
      <c r="D719" s="13"/>
      <c r="E719" s="1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13"/>
      <c r="D720" s="13"/>
      <c r="E720" s="1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13"/>
      <c r="D721" s="13"/>
      <c r="E721" s="1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13"/>
      <c r="D722" s="13"/>
      <c r="E722" s="1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13"/>
      <c r="D723" s="13"/>
      <c r="E723" s="1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13"/>
      <c r="D724" s="13"/>
      <c r="E724" s="1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13"/>
      <c r="D725" s="13"/>
      <c r="E725" s="1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13"/>
      <c r="D726" s="13"/>
      <c r="E726" s="1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13"/>
      <c r="D727" s="13"/>
      <c r="E727" s="1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13"/>
      <c r="D728" s="13"/>
      <c r="E728" s="1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13"/>
      <c r="D729" s="13"/>
      <c r="E729" s="1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13"/>
      <c r="D730" s="13"/>
      <c r="E730" s="1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13"/>
      <c r="D731" s="13"/>
      <c r="E731" s="1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13"/>
      <c r="D732" s="13"/>
      <c r="E732" s="1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13"/>
      <c r="D733" s="13"/>
      <c r="E733" s="1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13"/>
      <c r="D734" s="13"/>
      <c r="E734" s="1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13"/>
      <c r="D735" s="13"/>
      <c r="E735" s="1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13"/>
      <c r="D736" s="13"/>
      <c r="E736" s="1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13"/>
      <c r="D737" s="13"/>
      <c r="E737" s="1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13"/>
      <c r="D738" s="13"/>
      <c r="E738" s="1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13"/>
      <c r="D739" s="13"/>
      <c r="E739" s="1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13"/>
      <c r="D740" s="13"/>
      <c r="E740" s="1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13"/>
      <c r="D741" s="13"/>
      <c r="E741" s="1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13"/>
      <c r="D742" s="13"/>
      <c r="E742" s="1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13"/>
      <c r="D743" s="13"/>
      <c r="E743" s="1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13"/>
      <c r="D744" s="13"/>
      <c r="E744" s="1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13"/>
      <c r="D745" s="13"/>
      <c r="E745" s="1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13"/>
      <c r="D746" s="13"/>
      <c r="E746" s="1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13"/>
      <c r="D747" s="13"/>
      <c r="E747" s="1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13"/>
      <c r="D748" s="13"/>
      <c r="E748" s="1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13"/>
      <c r="D749" s="13"/>
      <c r="E749" s="1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13"/>
      <c r="D750" s="13"/>
      <c r="E750" s="1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13"/>
      <c r="D751" s="13"/>
      <c r="E751" s="1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13"/>
      <c r="D752" s="13"/>
      <c r="E752" s="1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13"/>
      <c r="D753" s="13"/>
      <c r="E753" s="1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13"/>
      <c r="D754" s="13"/>
      <c r="E754" s="1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13"/>
      <c r="D755" s="13"/>
      <c r="E755" s="1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13"/>
      <c r="D756" s="13"/>
      <c r="E756" s="1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13"/>
      <c r="D757" s="13"/>
      <c r="E757" s="1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13"/>
      <c r="D758" s="13"/>
      <c r="E758" s="1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13"/>
      <c r="D759" s="13"/>
      <c r="E759" s="1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13"/>
      <c r="D760" s="13"/>
      <c r="E760" s="1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13"/>
      <c r="D761" s="13"/>
      <c r="E761" s="1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13"/>
      <c r="D762" s="13"/>
      <c r="E762" s="1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13"/>
      <c r="D763" s="13"/>
      <c r="E763" s="1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13"/>
      <c r="D764" s="13"/>
      <c r="E764" s="1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13"/>
      <c r="D765" s="13"/>
      <c r="E765" s="1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13"/>
      <c r="D766" s="13"/>
      <c r="E766" s="1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13"/>
      <c r="D767" s="13"/>
      <c r="E767" s="1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13"/>
      <c r="D768" s="13"/>
      <c r="E768" s="1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13"/>
      <c r="D769" s="13"/>
      <c r="E769" s="1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13"/>
      <c r="D770" s="13"/>
      <c r="E770" s="1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13"/>
      <c r="D771" s="13"/>
      <c r="E771" s="1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13"/>
      <c r="D772" s="13"/>
      <c r="E772" s="1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13"/>
      <c r="D773" s="13"/>
      <c r="E773" s="1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13"/>
      <c r="D774" s="13"/>
      <c r="E774" s="1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13"/>
      <c r="D775" s="13"/>
      <c r="E775" s="1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13"/>
      <c r="D776" s="13"/>
      <c r="E776" s="1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13"/>
      <c r="D777" s="13"/>
      <c r="E777" s="1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13"/>
      <c r="D778" s="13"/>
      <c r="E778" s="1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13"/>
      <c r="D779" s="13"/>
      <c r="E779" s="1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13"/>
      <c r="D780" s="13"/>
      <c r="E780" s="1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13"/>
      <c r="D781" s="13"/>
      <c r="E781" s="1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13"/>
      <c r="D782" s="13"/>
      <c r="E782" s="1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13"/>
      <c r="D783" s="13"/>
      <c r="E783" s="1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13"/>
      <c r="D784" s="13"/>
      <c r="E784" s="1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13"/>
      <c r="D785" s="13"/>
      <c r="E785" s="1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13"/>
      <c r="D786" s="13"/>
      <c r="E786" s="1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13"/>
      <c r="D787" s="13"/>
      <c r="E787" s="1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13"/>
      <c r="D788" s="13"/>
      <c r="E788" s="1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13"/>
      <c r="D789" s="13"/>
      <c r="E789" s="1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13"/>
      <c r="D790" s="13"/>
      <c r="E790" s="1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13"/>
      <c r="D791" s="13"/>
      <c r="E791" s="1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13"/>
      <c r="D792" s="13"/>
      <c r="E792" s="1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13"/>
      <c r="D793" s="13"/>
      <c r="E793" s="1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13"/>
      <c r="D794" s="13"/>
      <c r="E794" s="1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13"/>
      <c r="D795" s="13"/>
      <c r="E795" s="1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13"/>
      <c r="D796" s="13"/>
      <c r="E796" s="1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13"/>
      <c r="D797" s="13"/>
      <c r="E797" s="1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13"/>
      <c r="D798" s="13"/>
      <c r="E798" s="1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13"/>
      <c r="D799" s="13"/>
      <c r="E799" s="1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13"/>
      <c r="D800" s="13"/>
      <c r="E800" s="1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13"/>
      <c r="D801" s="13"/>
      <c r="E801" s="1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13"/>
      <c r="D802" s="13"/>
      <c r="E802" s="1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13"/>
      <c r="D803" s="13"/>
      <c r="E803" s="1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13"/>
      <c r="D804" s="13"/>
      <c r="E804" s="1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13"/>
      <c r="D805" s="13"/>
      <c r="E805" s="1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13"/>
      <c r="D806" s="13"/>
      <c r="E806" s="1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13"/>
      <c r="D807" s="13"/>
      <c r="E807" s="1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13"/>
      <c r="D808" s="13"/>
      <c r="E808" s="1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13"/>
      <c r="D809" s="13"/>
      <c r="E809" s="1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13"/>
      <c r="D810" s="13"/>
      <c r="E810" s="1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13"/>
      <c r="D811" s="13"/>
      <c r="E811" s="1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13"/>
      <c r="D812" s="13"/>
      <c r="E812" s="1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13"/>
      <c r="D813" s="13"/>
      <c r="E813" s="1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13"/>
      <c r="D814" s="13"/>
      <c r="E814" s="1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13"/>
      <c r="D815" s="13"/>
      <c r="E815" s="1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13"/>
      <c r="D816" s="13"/>
      <c r="E816" s="1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13"/>
      <c r="D817" s="13"/>
      <c r="E817" s="1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13"/>
      <c r="D818" s="13"/>
      <c r="E818" s="1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13"/>
      <c r="D819" s="13"/>
      <c r="E819" s="1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13"/>
      <c r="D820" s="13"/>
      <c r="E820" s="1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13"/>
      <c r="D821" s="13"/>
      <c r="E821" s="1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13"/>
      <c r="D822" s="13"/>
      <c r="E822" s="1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13"/>
      <c r="D823" s="13"/>
      <c r="E823" s="1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13"/>
      <c r="D824" s="13"/>
      <c r="E824" s="1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13"/>
      <c r="D825" s="13"/>
      <c r="E825" s="1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13"/>
      <c r="D826" s="13"/>
      <c r="E826" s="1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13"/>
      <c r="D827" s="13"/>
      <c r="E827" s="1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13"/>
      <c r="D828" s="13"/>
      <c r="E828" s="1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13"/>
      <c r="D829" s="13"/>
      <c r="E829" s="1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13"/>
      <c r="D830" s="13"/>
      <c r="E830" s="1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13"/>
      <c r="D831" s="13"/>
      <c r="E831" s="1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13"/>
      <c r="D832" s="13"/>
      <c r="E832" s="1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13"/>
      <c r="D833" s="13"/>
      <c r="E833" s="1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13"/>
      <c r="D834" s="13"/>
      <c r="E834" s="1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13"/>
      <c r="D835" s="13"/>
      <c r="E835" s="1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13"/>
      <c r="D836" s="13"/>
      <c r="E836" s="1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13"/>
      <c r="D837" s="13"/>
      <c r="E837" s="1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13"/>
      <c r="D838" s="13"/>
      <c r="E838" s="1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13"/>
      <c r="D839" s="13"/>
      <c r="E839" s="1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13"/>
      <c r="D840" s="13"/>
      <c r="E840" s="1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13"/>
      <c r="D841" s="13"/>
      <c r="E841" s="1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13"/>
      <c r="D842" s="13"/>
      <c r="E842" s="1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13"/>
      <c r="D843" s="13"/>
      <c r="E843" s="1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13"/>
      <c r="D844" s="13"/>
      <c r="E844" s="1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13"/>
      <c r="D845" s="13"/>
      <c r="E845" s="1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13"/>
      <c r="D846" s="13"/>
      <c r="E846" s="1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13"/>
      <c r="D847" s="13"/>
      <c r="E847" s="1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13"/>
      <c r="D848" s="13"/>
      <c r="E848" s="1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13"/>
      <c r="D849" s="13"/>
      <c r="E849" s="1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13"/>
      <c r="D850" s="13"/>
      <c r="E850" s="1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13"/>
      <c r="D851" s="13"/>
      <c r="E851" s="1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13"/>
      <c r="D852" s="13"/>
      <c r="E852" s="1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13"/>
      <c r="D853" s="13"/>
      <c r="E853" s="1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13"/>
      <c r="D854" s="13"/>
      <c r="E854" s="1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13"/>
      <c r="D855" s="13"/>
      <c r="E855" s="1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13"/>
      <c r="D856" s="13"/>
      <c r="E856" s="1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13"/>
      <c r="D857" s="13"/>
      <c r="E857" s="1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13"/>
      <c r="D858" s="13"/>
      <c r="E858" s="1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13"/>
      <c r="D859" s="13"/>
      <c r="E859" s="1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13"/>
      <c r="D860" s="13"/>
      <c r="E860" s="1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13"/>
      <c r="D861" s="13"/>
      <c r="E861" s="1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13"/>
      <c r="D862" s="13"/>
      <c r="E862" s="1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13"/>
      <c r="D863" s="13"/>
      <c r="E863" s="1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13"/>
      <c r="D864" s="13"/>
      <c r="E864" s="1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13"/>
      <c r="D865" s="13"/>
      <c r="E865" s="1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13"/>
      <c r="D866" s="13"/>
      <c r="E866" s="1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13"/>
      <c r="D867" s="13"/>
      <c r="E867" s="1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13"/>
      <c r="D868" s="13"/>
      <c r="E868" s="1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13"/>
      <c r="D869" s="13"/>
      <c r="E869" s="1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13"/>
      <c r="D870" s="13"/>
      <c r="E870" s="1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13"/>
      <c r="D871" s="13"/>
      <c r="E871" s="1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13"/>
      <c r="D872" s="13"/>
      <c r="E872" s="1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13"/>
      <c r="D873" s="13"/>
      <c r="E873" s="1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13"/>
      <c r="D874" s="13"/>
      <c r="E874" s="1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13"/>
      <c r="D875" s="13"/>
      <c r="E875" s="1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13"/>
      <c r="D876" s="13"/>
      <c r="E876" s="1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13"/>
      <c r="D877" s="13"/>
      <c r="E877" s="1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13"/>
      <c r="D878" s="13"/>
      <c r="E878" s="1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13"/>
      <c r="D879" s="13"/>
      <c r="E879" s="1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13"/>
      <c r="D880" s="13"/>
      <c r="E880" s="1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13"/>
      <c r="D881" s="13"/>
      <c r="E881" s="1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13"/>
      <c r="D882" s="13"/>
      <c r="E882" s="1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13"/>
      <c r="D883" s="13"/>
      <c r="E883" s="1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13"/>
      <c r="D884" s="13"/>
      <c r="E884" s="1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13"/>
      <c r="D885" s="13"/>
      <c r="E885" s="1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13"/>
      <c r="D886" s="13"/>
      <c r="E886" s="1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13"/>
      <c r="D887" s="13"/>
      <c r="E887" s="1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13"/>
      <c r="D888" s="13"/>
      <c r="E888" s="1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13"/>
      <c r="D889" s="13"/>
      <c r="E889" s="1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13"/>
      <c r="D890" s="13"/>
      <c r="E890" s="1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13"/>
      <c r="D891" s="13"/>
      <c r="E891" s="1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13"/>
      <c r="D892" s="13"/>
      <c r="E892" s="1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13"/>
      <c r="D893" s="13"/>
      <c r="E893" s="1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13"/>
      <c r="D894" s="13"/>
      <c r="E894" s="1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13"/>
      <c r="D895" s="13"/>
      <c r="E895" s="1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13"/>
      <c r="D896" s="13"/>
      <c r="E896" s="1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13"/>
      <c r="D897" s="13"/>
      <c r="E897" s="1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13"/>
      <c r="D898" s="13"/>
      <c r="E898" s="1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13"/>
      <c r="D899" s="13"/>
      <c r="E899" s="1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13"/>
      <c r="D900" s="13"/>
      <c r="E900" s="1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13"/>
      <c r="D901" s="13"/>
      <c r="E901" s="1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13"/>
      <c r="D902" s="13"/>
      <c r="E902" s="1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13"/>
      <c r="D903" s="13"/>
      <c r="E903" s="1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13"/>
      <c r="D904" s="13"/>
      <c r="E904" s="1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13"/>
      <c r="D905" s="13"/>
      <c r="E905" s="1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13"/>
      <c r="D906" s="13"/>
      <c r="E906" s="1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13"/>
      <c r="D907" s="13"/>
      <c r="E907" s="1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13"/>
      <c r="D908" s="13"/>
      <c r="E908" s="1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13"/>
      <c r="D909" s="13"/>
      <c r="E909" s="1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13"/>
      <c r="D910" s="13"/>
      <c r="E910" s="1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13"/>
      <c r="D911" s="13"/>
      <c r="E911" s="1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13"/>
      <c r="D912" s="13"/>
      <c r="E912" s="1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13"/>
      <c r="D913" s="13"/>
      <c r="E913" s="1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13"/>
      <c r="D914" s="13"/>
      <c r="E914" s="1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13"/>
      <c r="D915" s="13"/>
      <c r="E915" s="1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13"/>
      <c r="D916" s="13"/>
      <c r="E916" s="1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13"/>
      <c r="D917" s="13"/>
      <c r="E917" s="1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13"/>
      <c r="D918" s="13"/>
      <c r="E918" s="1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13"/>
      <c r="D919" s="13"/>
      <c r="E919" s="1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13"/>
      <c r="D920" s="13"/>
      <c r="E920" s="1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13"/>
      <c r="D921" s="13"/>
      <c r="E921" s="1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13"/>
      <c r="D922" s="13"/>
      <c r="E922" s="1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13"/>
      <c r="D923" s="13"/>
      <c r="E923" s="1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13"/>
      <c r="D924" s="13"/>
      <c r="E924" s="1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13"/>
      <c r="D925" s="13"/>
      <c r="E925" s="1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13"/>
      <c r="D926" s="13"/>
      <c r="E926" s="1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13"/>
      <c r="D927" s="13"/>
      <c r="E927" s="1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13"/>
      <c r="D928" s="13"/>
      <c r="E928" s="1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13"/>
      <c r="D929" s="13"/>
      <c r="E929" s="1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13"/>
      <c r="D930" s="13"/>
      <c r="E930" s="1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13"/>
      <c r="D931" s="13"/>
      <c r="E931" s="1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13"/>
      <c r="D932" s="13"/>
      <c r="E932" s="1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13"/>
      <c r="D933" s="13"/>
      <c r="E933" s="1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13"/>
      <c r="D934" s="13"/>
      <c r="E934" s="1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13"/>
      <c r="D935" s="13"/>
      <c r="E935" s="1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13"/>
      <c r="D936" s="13"/>
      <c r="E936" s="1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13"/>
      <c r="D937" s="13"/>
      <c r="E937" s="1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13"/>
      <c r="D938" s="13"/>
      <c r="E938" s="1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13"/>
      <c r="D939" s="13"/>
      <c r="E939" s="1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13"/>
      <c r="D940" s="13"/>
      <c r="E940" s="1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13"/>
      <c r="D941" s="13"/>
      <c r="E941" s="1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13"/>
      <c r="D942" s="13"/>
      <c r="E942" s="1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13"/>
      <c r="D943" s="13"/>
      <c r="E943" s="1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13"/>
      <c r="D944" s="13"/>
      <c r="E944" s="1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13"/>
      <c r="D945" s="13"/>
      <c r="E945" s="1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13"/>
      <c r="D946" s="13"/>
      <c r="E946" s="1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13"/>
      <c r="D947" s="13"/>
      <c r="E947" s="1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13"/>
      <c r="D948" s="13"/>
      <c r="E948" s="1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13"/>
      <c r="D949" s="13"/>
      <c r="E949" s="1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13"/>
      <c r="D950" s="13"/>
      <c r="E950" s="1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13"/>
      <c r="D951" s="13"/>
      <c r="E951" s="1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13"/>
      <c r="D952" s="13"/>
      <c r="E952" s="1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13"/>
      <c r="D953" s="13"/>
      <c r="E953" s="1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13"/>
      <c r="D954" s="13"/>
      <c r="E954" s="1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13"/>
      <c r="D955" s="13"/>
      <c r="E955" s="1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13"/>
      <c r="D956" s="13"/>
      <c r="E956" s="1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13"/>
      <c r="D957" s="13"/>
      <c r="E957" s="1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13"/>
      <c r="D958" s="13"/>
      <c r="E958" s="1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13"/>
      <c r="D959" s="13"/>
      <c r="E959" s="1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13"/>
      <c r="D960" s="13"/>
      <c r="E960" s="1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13"/>
      <c r="D961" s="13"/>
      <c r="E961" s="1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13"/>
      <c r="D962" s="13"/>
      <c r="E962" s="1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13"/>
      <c r="D963" s="13"/>
      <c r="E963" s="1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13"/>
      <c r="D964" s="13"/>
      <c r="E964" s="1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13"/>
      <c r="D965" s="13"/>
      <c r="E965" s="1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13"/>
      <c r="D966" s="13"/>
      <c r="E966" s="1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13"/>
      <c r="D967" s="13"/>
      <c r="E967" s="1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13"/>
      <c r="D968" s="13"/>
      <c r="E968" s="1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13"/>
      <c r="D969" s="13"/>
      <c r="E969" s="1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13"/>
      <c r="D970" s="13"/>
      <c r="E970" s="1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13"/>
      <c r="D971" s="13"/>
      <c r="E971" s="1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13"/>
      <c r="D972" s="13"/>
      <c r="E972" s="1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13"/>
      <c r="D973" s="13"/>
      <c r="E973" s="1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13"/>
      <c r="D974" s="13"/>
      <c r="E974" s="1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13"/>
      <c r="D975" s="13"/>
      <c r="E975" s="1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13"/>
      <c r="D976" s="13"/>
      <c r="E976" s="1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13"/>
      <c r="D977" s="13"/>
      <c r="E977" s="1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13"/>
      <c r="D978" s="13"/>
      <c r="E978" s="1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13"/>
      <c r="D979" s="13"/>
      <c r="E979" s="1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13"/>
      <c r="D980" s="13"/>
      <c r="E980" s="1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13"/>
      <c r="D981" s="13"/>
      <c r="E981" s="1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13"/>
      <c r="D982" s="13"/>
      <c r="E982" s="1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13"/>
      <c r="D983" s="13"/>
      <c r="E983" s="1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13"/>
      <c r="D984" s="13"/>
      <c r="E984" s="1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13"/>
      <c r="D985" s="13"/>
      <c r="E985" s="1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13"/>
      <c r="D986" s="13"/>
      <c r="E986" s="1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13"/>
      <c r="D987" s="13"/>
      <c r="E987" s="1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13"/>
      <c r="D988" s="13"/>
      <c r="E988" s="1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13"/>
      <c r="D989" s="13"/>
      <c r="E989" s="1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13"/>
      <c r="D990" s="13"/>
      <c r="E990" s="1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13"/>
      <c r="D991" s="13"/>
      <c r="E991" s="1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13"/>
      <c r="D992" s="13"/>
      <c r="E992" s="1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13"/>
      <c r="D993" s="13"/>
      <c r="E993" s="1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13"/>
      <c r="D994" s="13"/>
      <c r="E994" s="1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13"/>
      <c r="D995" s="13"/>
      <c r="E995" s="1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13"/>
      <c r="D996" s="13"/>
      <c r="E996" s="1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13"/>
      <c r="D997" s="13"/>
      <c r="E997" s="1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B3:G3"/>
    <mergeCell ref="B4:G4"/>
  </mergeCells>
  <dataValidations>
    <dataValidation type="list" allowBlank="1" showErrorMessage="1" sqref="H24:H388">
      <formula1>"Home,Office"</formula1>
    </dataValidation>
  </dataValidations>
  <printOptions/>
  <pageMargins bottom="0.75" footer="0.0" header="0.0" left="0.7" right="0.7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2023-05-15T00:12:31Z</dcterms:created>
  <dc:creator>Timothy Munro</dc:creator>
</cp:coreProperties>
</file>